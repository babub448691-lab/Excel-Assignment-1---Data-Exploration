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C8E4D48D2FDC346/Documents/"/>
    </mc:Choice>
  </mc:AlternateContent>
  <xr:revisionPtr revIDLastSave="0" documentId="8_{12F25995-3657-4D16-8C5F-6DC55AD61D65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emplay (5)" sheetId="7" r:id="rId1"/>
    <sheet name="Sheet6" sheetId="13" r:id="rId2"/>
    <sheet name="Dataset assienment 1" sheetId="15" r:id="rId3"/>
    <sheet name="emplay" sheetId="3" r:id="rId4"/>
    <sheet name="Sheet1" sheetId="8" r:id="rId5"/>
    <sheet name="Sheet2" sheetId="2" r:id="rId6"/>
    <sheet name="Sheet4" sheetId="11" r:id="rId7"/>
  </sheets>
  <definedNames>
    <definedName name="ExternalData_1" localSheetId="2" hidden="1">'Dataset assienment 1'!$A$1:$F$35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5" l="1"/>
  <c r="P3" i="15"/>
  <c r="P4" i="15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33" i="15"/>
  <c r="P34" i="15"/>
  <c r="P35" i="15"/>
  <c r="O2" i="15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N2" i="15"/>
  <c r="N3" i="15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P43" i="15"/>
  <c r="P41" i="15"/>
  <c r="M2" i="15"/>
  <c r="M3" i="15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L43" i="15"/>
  <c r="L41" i="15"/>
  <c r="I45" i="15"/>
  <c r="I43" i="15"/>
  <c r="I41" i="15"/>
  <c r="G3" i="13"/>
  <c r="G4" i="13"/>
  <c r="G5" i="13"/>
  <c r="G6" i="13"/>
  <c r="G7" i="13"/>
  <c r="G8" i="13"/>
  <c r="G9" i="13"/>
  <c r="G10" i="13"/>
  <c r="G11" i="13"/>
  <c r="G12" i="13"/>
  <c r="G13" i="13"/>
  <c r="G2" i="13"/>
  <c r="E2" i="8"/>
  <c r="F2" i="8"/>
  <c r="D2" i="8"/>
  <c r="D3" i="8"/>
  <c r="E3" i="8"/>
  <c r="F3" i="8"/>
  <c r="D4" i="8"/>
  <c r="E4" i="8"/>
  <c r="F4" i="8"/>
  <c r="D5" i="8"/>
  <c r="E5" i="8"/>
  <c r="F5" i="8"/>
  <c r="D6" i="8"/>
  <c r="E6" i="8"/>
  <c r="F6" i="8"/>
  <c r="I3" i="11"/>
  <c r="O12" i="11"/>
  <c r="O10" i="11"/>
  <c r="O8" i="11"/>
  <c r="O6" i="11"/>
  <c r="O5" i="11"/>
  <c r="O4" i="11"/>
  <c r="K9" i="11"/>
  <c r="K8" i="11"/>
  <c r="K7" i="11"/>
  <c r="K6" i="11"/>
  <c r="K5" i="11"/>
  <c r="K4" i="11"/>
  <c r="E2" i="3"/>
  <c r="E3" i="3"/>
  <c r="E4" i="3"/>
  <c r="E5" i="3"/>
  <c r="E6" i="3"/>
  <c r="D2" i="3"/>
  <c r="D3" i="3"/>
  <c r="D4" i="3"/>
  <c r="D5" i="3"/>
  <c r="D6" i="3"/>
  <c r="C2" i="3"/>
  <c r="C3" i="3"/>
  <c r="C4" i="3"/>
  <c r="C5" i="3"/>
  <c r="C6" i="3"/>
  <c r="H10" i="2"/>
  <c r="E6" i="2"/>
  <c r="E4" i="2"/>
  <c r="E2" i="2"/>
  <c r="C12" i="2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DCCB20-4BFF-4827-9E44-70ECF1BF3E16}" keepAlive="1" name="Query - Dataset assienment 1" description="Connection to the 'Dataset assienment 1' query in the workbook." type="5" refreshedVersion="8" background="1" saveData="1">
    <dbPr connection="Provider=Microsoft.Mashup.OleDb.1;Data Source=$Workbook$;Location=&quot;Dataset assienment 1&quot;;Extended Properties=&quot;&quot;" command="SELECT * FROM [Dataset assienment 1]"/>
  </connection>
</connections>
</file>

<file path=xl/sharedStrings.xml><?xml version="1.0" encoding="utf-8"?>
<sst xmlns="http://schemas.openxmlformats.org/spreadsheetml/2006/main" count="504" uniqueCount="240">
  <si>
    <t>Admission ID</t>
  </si>
  <si>
    <t>05-JAN-1346</t>
  </si>
  <si>
    <t>D8-JAN-1347</t>
  </si>
  <si>
    <t>08-JAN-1347</t>
  </si>
  <si>
    <t>12-JAN-1348</t>
  </si>
  <si>
    <t>15-JAN-1349</t>
  </si>
  <si>
    <t>19-JAN-1350</t>
  </si>
  <si>
    <t>22-JAN-1351</t>
  </si>
  <si>
    <t>25-JAN-1352</t>
  </si>
  <si>
    <t>06-FEB-1353</t>
  </si>
  <si>
    <t>01-FEB-1354</t>
  </si>
  <si>
    <t>10-FEB-1355</t>
  </si>
  <si>
    <t>14-FEB-1356</t>
  </si>
  <si>
    <t>15-FEB-1357</t>
  </si>
  <si>
    <t>Name</t>
  </si>
  <si>
    <t>Rahul</t>
  </si>
  <si>
    <t>Priya</t>
  </si>
  <si>
    <t>Rohan</t>
  </si>
  <si>
    <t>Nisha</t>
  </si>
  <si>
    <t>Akash</t>
  </si>
  <si>
    <t>Neha</t>
  </si>
  <si>
    <t>Ananya</t>
  </si>
  <si>
    <t>Riya</t>
  </si>
  <si>
    <t>Aarav</t>
  </si>
  <si>
    <t>Ihsaan</t>
  </si>
  <si>
    <t>Siddharth</t>
  </si>
  <si>
    <t xml:space="preserve">Siddharth </t>
  </si>
  <si>
    <t>School Branch</t>
  </si>
  <si>
    <t>Anna Nagar</t>
  </si>
  <si>
    <t>Thambiramm</t>
  </si>
  <si>
    <t>T. Nagar</t>
  </si>
  <si>
    <t>Velachery</t>
  </si>
  <si>
    <t>Tambaram</t>
  </si>
  <si>
    <t>Annan Nagar</t>
  </si>
  <si>
    <t>Thyagaraya Nagar</t>
  </si>
  <si>
    <t>Enrolled Class</t>
  </si>
  <si>
    <t>Class XII</t>
  </si>
  <si>
    <t>Class X</t>
  </si>
  <si>
    <t>Class XI</t>
  </si>
  <si>
    <t>Admission Test score</t>
  </si>
  <si>
    <t xml:space="preserve">age </t>
  </si>
  <si>
    <t>Product</t>
  </si>
  <si>
    <t>Apple</t>
  </si>
  <si>
    <t>Orange</t>
  </si>
  <si>
    <t>Banana</t>
  </si>
  <si>
    <t>Sale</t>
  </si>
  <si>
    <t>total apple sales =</t>
  </si>
  <si>
    <t>average orange sales =</t>
  </si>
  <si>
    <t xml:space="preserve">banana coun    = </t>
  </si>
  <si>
    <t>sum of sales where quantity  is greater then 20:</t>
  </si>
  <si>
    <t>Product ID</t>
  </si>
  <si>
    <t>27-2023-IN</t>
  </si>
  <si>
    <t>15-2022-US</t>
  </si>
  <si>
    <t>33-2023-CN</t>
  </si>
  <si>
    <t>19-2020-AU</t>
  </si>
  <si>
    <t>22-2021-FR</t>
  </si>
  <si>
    <t>Laptop</t>
  </si>
  <si>
    <t>Smartphone</t>
  </si>
  <si>
    <t>Tablet</t>
  </si>
  <si>
    <t>Headphone</t>
  </si>
  <si>
    <t>Keyboard</t>
  </si>
  <si>
    <t>product name</t>
  </si>
  <si>
    <t xml:space="preserve">prouduct code </t>
  </si>
  <si>
    <t xml:space="preserve">country code </t>
  </si>
  <si>
    <t>country name</t>
  </si>
  <si>
    <t>Peter parker</t>
  </si>
  <si>
    <t>Clark kent</t>
  </si>
  <si>
    <t>Diana prince</t>
  </si>
  <si>
    <t>Bruce wayne</t>
  </si>
  <si>
    <t>Tony stark</t>
  </si>
  <si>
    <t>Designation</t>
  </si>
  <si>
    <t>Web slinger</t>
  </si>
  <si>
    <t>Daily reporter</t>
  </si>
  <si>
    <t>Amazon princess</t>
  </si>
  <si>
    <t>Billionaire playboy</t>
  </si>
  <si>
    <t>Genius inventor</t>
  </si>
  <si>
    <t>Username</t>
  </si>
  <si>
    <t>Spidey</t>
  </si>
  <si>
    <t>Superman</t>
  </si>
  <si>
    <t>Wonderwoman</t>
  </si>
  <si>
    <t>Batman</t>
  </si>
  <si>
    <t>Ironman</t>
  </si>
  <si>
    <t>Name-UPPER</t>
  </si>
  <si>
    <t xml:space="preserve">lower cast </t>
  </si>
  <si>
    <t>proper</t>
  </si>
  <si>
    <t>05-Jan-1346</t>
  </si>
  <si>
    <t>08-Jan-1347</t>
  </si>
  <si>
    <t>12-Jan-1348</t>
  </si>
  <si>
    <t>15-Jan-1349</t>
  </si>
  <si>
    <t>19-Jan-1350</t>
  </si>
  <si>
    <t>22-Jan-1351</t>
  </si>
  <si>
    <t>25-Jan-1352</t>
  </si>
  <si>
    <t>29-Jan-1353</t>
  </si>
  <si>
    <t>04-Feb-1354</t>
  </si>
  <si>
    <t>06-Feb-1355</t>
  </si>
  <si>
    <t>08-Feb-1356</t>
  </si>
  <si>
    <t>14-Feb-1357</t>
  </si>
  <si>
    <t>Karthik</t>
  </si>
  <si>
    <t>Ishaan</t>
  </si>
  <si>
    <t>T.Nagar</t>
  </si>
  <si>
    <t>Age</t>
  </si>
  <si>
    <t>Admission Test Score</t>
  </si>
  <si>
    <t xml:space="preserve"> Enrolled Class</t>
  </si>
  <si>
    <t>minimum score</t>
  </si>
  <si>
    <t xml:space="preserve">maximum score  </t>
  </si>
  <si>
    <t xml:space="preserve">student count </t>
  </si>
  <si>
    <t>average count</t>
  </si>
  <si>
    <t>sum</t>
  </si>
  <si>
    <t>min</t>
  </si>
  <si>
    <t>max</t>
  </si>
  <si>
    <t xml:space="preserve">count </t>
  </si>
  <si>
    <t>counta</t>
  </si>
  <si>
    <t>average</t>
  </si>
  <si>
    <t>Total score of Class X Students</t>
  </si>
  <si>
    <t>T.Nagar students count</t>
  </si>
  <si>
    <t>Average score of students who are less than 16 years old</t>
  </si>
  <si>
    <t>Total score of students who scored more than 90</t>
  </si>
  <si>
    <t>SUMIF</t>
  </si>
  <si>
    <t>COUNTIF</t>
  </si>
  <si>
    <t>AVERAGEIF</t>
  </si>
  <si>
    <t>Number of students admitted in T.Nagar for class X</t>
  </si>
  <si>
    <t>COUNTIFS</t>
  </si>
  <si>
    <t>Total score of class X Students who got admission in T. Nagar</t>
  </si>
  <si>
    <t>SUMIFS</t>
  </si>
  <si>
    <t xml:space="preserve"> </t>
  </si>
  <si>
    <t xml:space="preserve">Total score </t>
  </si>
  <si>
    <t>clas   xll</t>
  </si>
  <si>
    <t>05  -  JAN -  1346</t>
  </si>
  <si>
    <t>6  -  JAN -  1346</t>
  </si>
  <si>
    <t>7  -  JAN -  1346</t>
  </si>
  <si>
    <t>8  -  JAN -  1346</t>
  </si>
  <si>
    <t>9  -  JAN -  1346</t>
  </si>
  <si>
    <t>10  -  JAN -  1346</t>
  </si>
  <si>
    <t>11  -  JAN -  1346</t>
  </si>
  <si>
    <t>12  -  JAN -  1346</t>
  </si>
  <si>
    <t>13  -  JAN -  1346</t>
  </si>
  <si>
    <t>14  -  JAN -  1346</t>
  </si>
  <si>
    <t>15  -  JAN -  1346</t>
  </si>
  <si>
    <t>16  -  JAN -  1346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</si>
  <si>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</si>
  <si>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</si>
  <si>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</si>
  <si>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</si>
  <si>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</si>
  <si>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</si>
  <si>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</si>
  <si>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</si>
  <si>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</si>
  <si>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</si>
  <si>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</si>
  <si>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</si>
  <si>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</si>
  <si>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</si>
  <si>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</si>
  <si>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</si>
  <si>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</si>
  <si>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</si>
  <si>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</si>
  <si>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</si>
  <si>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</si>
  <si>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</si>
  <si>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</si>
  <si>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</si>
  <si>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</si>
  <si>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</si>
  <si>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</si>
  <si>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</si>
  <si>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</si>
  <si>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</si>
  <si>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</si>
  <si>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</si>
  <si>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</si>
  <si>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</si>
  <si>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</si>
  <si>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</si>
  <si>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</si>
  <si>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</si>
  <si>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</si>
  <si>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</si>
  <si>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</si>
  <si>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</si>
  <si>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</si>
  <si>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</si>
  <si>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</si>
  <si>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</si>
  <si>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</si>
  <si>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</si>
  <si>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</si>
  <si>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</si>
  <si>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</si>
  <si>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</si>
  <si>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</si>
  <si>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</si>
  <si>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</si>
  <si>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</si>
  <si>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</si>
  <si>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</si>
  <si>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</si>
  <si>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</si>
  <si>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</si>
  <si>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</si>
  <si>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</si>
  <si>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</si>
  <si>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</si>
  <si>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</si>
  <si>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</si>
  <si>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</si>
  <si>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</si>
  <si>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</si>
  <si>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</si>
  <si>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</si>
  <si>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</si>
  <si>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</si>
  <si>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</si>
  <si>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</si>
  <si>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</si>
  <si>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</si>
  <si>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</si>
  <si>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</si>
  <si>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</si>
  <si>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</si>
  <si>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</si>
  <si>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</si>
  <si>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</si>
  <si>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</si>
  <si>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</si>
  <si>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</si>
  <si>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 value</t>
  </si>
  <si>
    <t>count value</t>
  </si>
  <si>
    <t>average value</t>
  </si>
  <si>
    <t>Minum value</t>
  </si>
  <si>
    <t>Maxium value</t>
  </si>
  <si>
    <t xml:space="preserve">                  </t>
  </si>
  <si>
    <t xml:space="preserve">Price Range </t>
  </si>
  <si>
    <t>COUNT IF</t>
  </si>
  <si>
    <t>Electronics total</t>
  </si>
  <si>
    <t>price &lt; 100</t>
  </si>
  <si>
    <t>DAY</t>
  </si>
  <si>
    <t>MONTH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</si>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</sst>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1" fillId="6" borderId="0" applyNumberFormat="0" applyBorder="0" applyAlignment="0" applyProtection="0"/>
  </cellStyleXfs>
  <cellXfs count="38">
    <xf numFmtId="0" fontId="0" fillId="0" borderId="0" xfId="0"/>
    <xf numFmtId="0" fontId="1" fillId="2" borderId="0" xfId="0" applyFont="1" applyFill="1"/>
    <xf numFmtId="1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0" fontId="0" fillId="0" borderId="1" xfId="0" applyBorder="1"/>
    <xf numFmtId="0" fontId="5" fillId="3" borderId="2" xfId="1" applyBorder="1"/>
    <xf numFmtId="0" fontId="5" fillId="3" borderId="3" xfId="1" applyBorder="1"/>
    <xf numFmtId="0" fontId="5" fillId="3" borderId="4" xfId="1" applyBorder="1"/>
    <xf numFmtId="0" fontId="5" fillId="3" borderId="5" xfId="1" applyBorder="1"/>
    <xf numFmtId="0" fontId="5" fillId="3" borderId="6" xfId="1" applyBorder="1"/>
    <xf numFmtId="0" fontId="5" fillId="3" borderId="7" xfId="1" applyBorder="1"/>
    <xf numFmtId="0" fontId="5" fillId="3" borderId="8" xfId="1" applyBorder="1"/>
    <xf numFmtId="0" fontId="6" fillId="0" borderId="0" xfId="2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6" fillId="4" borderId="1" xfId="0" applyFont="1" applyFill="1" applyBorder="1"/>
    <xf numFmtId="0" fontId="0" fillId="5" borderId="1" xfId="0" applyFill="1" applyBorder="1"/>
    <xf numFmtId="0" fontId="7" fillId="2" borderId="1" xfId="0" applyFont="1" applyFill="1" applyBorder="1"/>
    <xf numFmtId="0" fontId="8" fillId="2" borderId="1" xfId="0" applyFont="1" applyFill="1" applyBorder="1" applyAlignment="1">
      <alignment horizontal="right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2" borderId="1" xfId="0" applyFill="1" applyBorder="1"/>
    <xf numFmtId="0" fontId="11" fillId="6" borderId="11" xfId="3" applyBorder="1"/>
    <xf numFmtId="0" fontId="11" fillId="6" borderId="12" xfId="3" applyBorder="1"/>
    <xf numFmtId="0" fontId="11" fillId="6" borderId="9" xfId="3" applyBorder="1"/>
    <xf numFmtId="0" fontId="11" fillId="6" borderId="10" xfId="3" applyBorder="1"/>
    <xf numFmtId="0" fontId="11" fillId="6" borderId="13" xfId="3" applyBorder="1"/>
    <xf numFmtId="0" fontId="11" fillId="6" borderId="14" xfId="3" applyBorder="1"/>
    <xf numFmtId="0" fontId="11" fillId="6" borderId="0" xfId="3"/>
  </cellXfs>
  <cellStyles count="4">
    <cellStyle name="20% - Accent6" xfId="3" builtinId="50"/>
    <cellStyle name="Good" xfId="1" builtinId="26"/>
    <cellStyle name="Normal" xfId="0" builtinId="0"/>
    <cellStyle name="Warning Text" xfId="2" builtinId="11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PivotTable Style 1" table="0" count="0" xr9:uid="{3C40FF47-07E5-48F8-83D3-D78028AA68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6F4F30-CCF9-4DB1-882F-A6B5F8A875CE}" autoFormatId="16" applyNumberFormats="0" applyBorderFormats="0" applyFontFormats="0" applyPatternFormats="0" applyAlignmentFormats="0" applyWidthHeightFormats="0">
  <queryTableRefresh nextId="12">
    <queryTableFields count="6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</queryTableFields>
    <queryTableDeletedFields count="1"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28894D-757E-48FC-8CDD-594DC65BCDFC}" name="Dataset_assienment_1" displayName="Dataset_assienment_1" ref="A1:F35" tableType="queryTable" totalsRowShown="0">
  <autoFilter ref="A1:F35" xr:uid="{B728894D-757E-48FC-8CDD-594DC65BCDFC}"/>
  <tableColumns count="6">
    <tableColumn id="1" xr3:uid="{E8094540-FA80-437F-BA9B-A81133EC9460}" uniqueName="1" name="Product ID" queryTableFieldId="1" dataDxfId="26"/>
    <tableColumn id="2" xr3:uid="{BFB112E7-F13A-4CEB-B497-3C2C5D7E8606}" uniqueName="2" name="Product Name" queryTableFieldId="2" dataDxfId="25"/>
    <tableColumn id="3" xr3:uid="{CF308ED4-C377-40D7-A6CD-EA72DEBF7B60}" uniqueName="3" name="Brand Name" queryTableFieldId="3" dataDxfId="24"/>
    <tableColumn id="4" xr3:uid="{F01F1D70-2A49-4932-BD33-D757CCEFAE87}" uniqueName="4" name="Price ($)" queryTableFieldId="4"/>
    <tableColumn id="5" xr3:uid="{555554FC-3484-4DBE-A09B-CC532A54B796}" uniqueName="5" name="Quantity" queryTableFieldId="5"/>
    <tableColumn id="6" xr3:uid="{11EE7753-A4A3-4E4A-A414-A0DE89683FC7}" uniqueName="6" name="Category" queryTableFieldId="6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B5B850-CBDC-43BF-AEE0-FD4561B20A84}" name="Table3" displayName="Table3" ref="H1:P35" totalsRowShown="0" headerRowBorderDxfId="22" tableBorderDxfId="21" totalsRowBorderDxfId="20" headerRowCellStyle="20% - Accent6" dataCellStyle="20% - Accent6">
  <autoFilter ref="H1:P35" xr:uid="{7EB5B850-CBDC-43BF-AEE0-FD4561B20A84}"/>
  <tableColumns count="9">
    <tableColumn id="1" xr3:uid="{D74E7482-891E-4DBC-B162-9F473013B42A}" name="Product Name" dataDxfId="19" dataCellStyle="20% - Accent6"/>
    <tableColumn id="2" xr3:uid="{B0625F3E-04C0-45A1-A4E4-D33D5AE1FC4F}" name="Brand Name" dataDxfId="18" dataCellStyle="20% - Accent6"/>
    <tableColumn id="3" xr3:uid="{FFFF29B9-4F86-4D39-8BF2-43113C2E4C87}" name="Price ($)" dataDxfId="17" dataCellStyle="20% - Accent6"/>
    <tableColumn id="4" xr3:uid="{A45AD644-B444-4DF0-BA80-B4D58D0C4482}" name="Quantity" dataDxfId="16" dataCellStyle="20% - Accent6"/>
    <tableColumn id="5" xr3:uid="{EAC542EF-09F1-40C1-ABEE-D8F77617163F}" name="Category" dataDxfId="15" dataCellStyle="20% - Accent6"/>
    <tableColumn id="6" xr3:uid="{C606F610-0654-4FB7-A235-7AE6DADD71D1}" name="Price Range " dataDxfId="14" dataCellStyle="20% - Accent6">
      <calculatedColumnFormula>IF(D2&gt;=500,"Hige price","Low price")</calculatedColumnFormula>
    </tableColumn>
    <tableColumn id="7" xr3:uid="{D0EFC35A-978F-4AA8-9B6B-6C70B5A93685}" name="COUNTRY" dataDxfId="13" dataCellStyle="20% - Accent6">
      <calculatedColumnFormula>RIGHT(A2,2)</calculatedColumnFormula>
    </tableColumn>
    <tableColumn id="8" xr3:uid="{10F5CB62-291C-418D-9448-F7470F17A1B7}" name="MONTH" dataDxfId="12" dataCellStyle="20% - Accent6">
      <calculatedColumnFormula>MID(A2,4,3)</calculatedColumnFormula>
    </tableColumn>
    <tableColumn id="9" xr3:uid="{C12FC151-EE2A-4E71-9F36-C60B0CB2FD7E}" name="DAY" dataDxfId="11" dataCellStyle="20% - Accent6">
      <calculatedColumnFormula>LEFT(A2,2)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FAAAED-F1C9-44EB-ACC9-0100664C015D}" name="Table5" displayName="Table5" ref="A1:E6" totalsRowShown="0" headerRowDxfId="10" headerRowBorderDxfId="9" tableBorderDxfId="8" totalsRowBorderDxfId="7" headerRowCellStyle="Good">
  <autoFilter ref="A1:E6" xr:uid="{71FAAAED-F1C9-44EB-ACC9-0100664C015D}"/>
  <tableColumns count="5">
    <tableColumn id="1" xr3:uid="{4797E2DE-1FD3-4C71-AABF-7A22317E40D0}" name="Product ID" dataDxfId="6" dataCellStyle="Good"/>
    <tableColumn id="2" xr3:uid="{ED669618-0F20-4B11-9DE4-916678716561}" name="product name" dataDxfId="5" dataCellStyle="Good"/>
    <tableColumn id="3" xr3:uid="{F880567D-178B-4E39-88A5-BBC1B4456F5F}" name="prouduct code " dataDxfId="4">
      <calculatedColumnFormula>LEFT(A2,2)</calculatedColumnFormula>
    </tableColumn>
    <tableColumn id="4" xr3:uid="{EEE8CFD0-72A2-4CA4-9536-FB35F36E36D6}" name="country code " dataDxfId="3">
      <calculatedColumnFormula>RIGHT(A2,3)</calculatedColumnFormula>
    </tableColumn>
    <tableColumn id="5" xr3:uid="{3235CCA2-0438-4D8D-A8EC-D005B5AF6F4B}" name="country name" dataDxfId="2">
      <calculatedColumnFormula>MID(A2,4,4)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C0BA56-49D0-41DE-88E4-61ED560ACEBA}" name="Table2" displayName="Table2" ref="B1:C10" totalsRowShown="0">
  <autoFilter ref="B1:C10" xr:uid="{82C0BA56-49D0-41DE-88E4-61ED560ACEBA}"/>
  <tableColumns count="2">
    <tableColumn id="1" xr3:uid="{59E5FFDD-22BC-4D9B-984B-9C7618A31700}" name="Product" dataDxfId="1"/>
    <tableColumn id="2" xr3:uid="{C2066105-2C47-4963-91CA-BE240CC28E55}" name="Sal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54ADD-F83C-423A-B0D8-32EE53D8C6B6}">
  <dimension ref="A1:H15"/>
  <sheetViews>
    <sheetView workbookViewId="0">
      <selection activeCell="F21" sqref="F21"/>
    </sheetView>
  </sheetViews>
  <sheetFormatPr defaultRowHeight="14.4" x14ac:dyDescent="0.3"/>
  <cols>
    <col min="1" max="1" width="15.33203125" customWidth="1"/>
    <col min="3" max="3" width="24.33203125" customWidth="1"/>
    <col min="4" max="4" width="12.44140625" customWidth="1"/>
    <col min="5" max="5" width="12.5546875" customWidth="1"/>
    <col min="6" max="6" width="18.21875" bestFit="1" customWidth="1"/>
  </cols>
  <sheetData>
    <row r="1" spans="1:8" ht="15.6" x14ac:dyDescent="0.3">
      <c r="A1" s="21" t="s">
        <v>0</v>
      </c>
      <c r="B1" t="s">
        <v>14</v>
      </c>
      <c r="C1" t="s">
        <v>27</v>
      </c>
      <c r="D1" t="s">
        <v>35</v>
      </c>
      <c r="E1" t="s">
        <v>40</v>
      </c>
      <c r="F1" t="s">
        <v>39</v>
      </c>
      <c r="H1" s="6"/>
    </row>
    <row r="2" spans="1:8" ht="15.6" x14ac:dyDescent="0.3">
      <c r="A2" s="22" t="s">
        <v>1</v>
      </c>
      <c r="B2" s="5" t="s">
        <v>15</v>
      </c>
      <c r="C2" s="6"/>
      <c r="D2" s="6" t="s">
        <v>126</v>
      </c>
      <c r="E2" s="6">
        <v>17</v>
      </c>
      <c r="F2" s="6">
        <v>82</v>
      </c>
      <c r="G2" s="6" t="str">
        <f>IF(F2&gt;85,"PASS","FAIL")</f>
        <v>FAIL</v>
      </c>
      <c r="H2" s="7" t="str">
        <f>IF(F2&gt;90,"A",IF(F2&gt;85,"B","C"))</f>
        <v>C</v>
      </c>
    </row>
    <row r="3" spans="1:8" ht="15.6" x14ac:dyDescent="0.3">
      <c r="A3" s="22" t="s">
        <v>2</v>
      </c>
      <c r="B3" s="5" t="s">
        <v>16</v>
      </c>
      <c r="C3" s="6" t="s">
        <v>28</v>
      </c>
      <c r="D3" s="6" t="s">
        <v>37</v>
      </c>
      <c r="E3" s="6">
        <v>14</v>
      </c>
      <c r="F3" s="6">
        <v>89</v>
      </c>
      <c r="G3" s="6" t="str">
        <f t="shared" ref="G3:G15" si="0">IF(F3&gt;85,"PASS","FAIL")</f>
        <v>PASS</v>
      </c>
      <c r="H3" s="7" t="str">
        <f t="shared" ref="H3:H15" si="1">IF(F3&gt;90,"A",IF(F3&gt;85,"B","C"))</f>
        <v>B</v>
      </c>
    </row>
    <row r="4" spans="1:8" ht="15.6" x14ac:dyDescent="0.3">
      <c r="A4" s="22" t="s">
        <v>3</v>
      </c>
      <c r="B4" s="5" t="s">
        <v>16</v>
      </c>
      <c r="C4" s="6" t="s">
        <v>28</v>
      </c>
      <c r="D4" s="6" t="s">
        <v>37</v>
      </c>
      <c r="E4" s="6">
        <v>14</v>
      </c>
      <c r="F4" s="6">
        <v>89</v>
      </c>
      <c r="G4" s="6" t="str">
        <f t="shared" si="0"/>
        <v>PASS</v>
      </c>
      <c r="H4" s="7" t="str">
        <f t="shared" si="1"/>
        <v>B</v>
      </c>
    </row>
    <row r="5" spans="1:8" ht="15.6" x14ac:dyDescent="0.3">
      <c r="A5" s="22" t="s">
        <v>4</v>
      </c>
      <c r="B5" s="5" t="s">
        <v>17</v>
      </c>
      <c r="C5" s="6" t="s">
        <v>29</v>
      </c>
      <c r="D5" s="6" t="s">
        <v>38</v>
      </c>
      <c r="E5" s="6">
        <v>16</v>
      </c>
      <c r="F5" s="6">
        <v>78</v>
      </c>
      <c r="G5" s="6" t="str">
        <f t="shared" si="0"/>
        <v>FAIL</v>
      </c>
      <c r="H5" s="7" t="str">
        <f t="shared" si="1"/>
        <v>C</v>
      </c>
    </row>
    <row r="6" spans="1:8" ht="15.6" x14ac:dyDescent="0.3">
      <c r="A6" s="22" t="s">
        <v>5</v>
      </c>
      <c r="B6" s="5" t="s">
        <v>18</v>
      </c>
      <c r="C6" s="6" t="s">
        <v>30</v>
      </c>
      <c r="D6" s="6" t="s">
        <v>36</v>
      </c>
      <c r="E6" s="6"/>
      <c r="F6" s="6">
        <v>91</v>
      </c>
      <c r="G6" s="6" t="str">
        <f t="shared" si="0"/>
        <v>PASS</v>
      </c>
      <c r="H6" s="7" t="str">
        <f t="shared" si="1"/>
        <v>A</v>
      </c>
    </row>
    <row r="7" spans="1:8" ht="15.6" x14ac:dyDescent="0.3">
      <c r="A7" s="22" t="s">
        <v>6</v>
      </c>
      <c r="B7" s="5" t="s">
        <v>19</v>
      </c>
      <c r="C7" s="6" t="s">
        <v>31</v>
      </c>
      <c r="D7" s="6" t="s">
        <v>38</v>
      </c>
      <c r="E7" s="6">
        <v>17</v>
      </c>
      <c r="F7" s="6">
        <v>85</v>
      </c>
      <c r="G7" s="6" t="str">
        <f t="shared" si="0"/>
        <v>FAIL</v>
      </c>
      <c r="H7" s="7" t="str">
        <f t="shared" si="1"/>
        <v>C</v>
      </c>
    </row>
    <row r="8" spans="1:8" ht="15.6" x14ac:dyDescent="0.3">
      <c r="A8" s="22" t="s">
        <v>7</v>
      </c>
      <c r="B8" s="5" t="s">
        <v>20</v>
      </c>
      <c r="C8" s="6" t="s">
        <v>34</v>
      </c>
      <c r="D8" s="6" t="s">
        <v>37</v>
      </c>
      <c r="E8" s="6">
        <v>16</v>
      </c>
      <c r="F8" s="6">
        <v>93</v>
      </c>
      <c r="G8" s="6" t="str">
        <f t="shared" si="0"/>
        <v>PASS</v>
      </c>
      <c r="H8" s="7" t="str">
        <f t="shared" si="1"/>
        <v>A</v>
      </c>
    </row>
    <row r="9" spans="1:8" ht="15.6" x14ac:dyDescent="0.3">
      <c r="A9" s="22" t="s">
        <v>8</v>
      </c>
      <c r="B9" s="5" t="s">
        <v>21</v>
      </c>
      <c r="C9" s="6" t="s">
        <v>32</v>
      </c>
      <c r="D9" s="6" t="s">
        <v>38</v>
      </c>
      <c r="E9" s="6"/>
      <c r="F9" s="6">
        <v>80</v>
      </c>
      <c r="G9" s="6" t="str">
        <f t="shared" si="0"/>
        <v>FAIL</v>
      </c>
      <c r="H9" s="7" t="str">
        <f t="shared" si="1"/>
        <v>C</v>
      </c>
    </row>
    <row r="10" spans="1:8" ht="15.6" x14ac:dyDescent="0.3">
      <c r="A10" s="22" t="s">
        <v>9</v>
      </c>
      <c r="B10" s="5" t="s">
        <v>22</v>
      </c>
      <c r="C10" s="6" t="s">
        <v>30</v>
      </c>
      <c r="D10" s="6" t="s">
        <v>36</v>
      </c>
      <c r="E10" s="6">
        <v>17</v>
      </c>
      <c r="F10" s="6">
        <v>77</v>
      </c>
      <c r="G10" s="6" t="str">
        <f t="shared" si="0"/>
        <v>FAIL</v>
      </c>
      <c r="H10" s="7" t="str">
        <f t="shared" si="1"/>
        <v>C</v>
      </c>
    </row>
    <row r="11" spans="1:8" ht="15.6" x14ac:dyDescent="0.3">
      <c r="A11" s="22" t="s">
        <v>10</v>
      </c>
      <c r="B11" s="5" t="s">
        <v>25</v>
      </c>
      <c r="C11" s="6" t="s">
        <v>28</v>
      </c>
      <c r="D11" s="6" t="s">
        <v>38</v>
      </c>
      <c r="E11" s="6">
        <v>17</v>
      </c>
      <c r="F11" s="6">
        <v>88</v>
      </c>
      <c r="G11" s="6" t="str">
        <f t="shared" si="0"/>
        <v>PASS</v>
      </c>
      <c r="H11" s="7" t="str">
        <f t="shared" si="1"/>
        <v>B</v>
      </c>
    </row>
    <row r="12" spans="1:8" ht="15.6" x14ac:dyDescent="0.3">
      <c r="A12" s="22" t="s">
        <v>10</v>
      </c>
      <c r="B12" s="5" t="s">
        <v>26</v>
      </c>
      <c r="C12" s="6" t="s">
        <v>33</v>
      </c>
      <c r="D12" s="6" t="s">
        <v>38</v>
      </c>
      <c r="E12" s="6">
        <v>17</v>
      </c>
      <c r="F12" s="6">
        <v>88</v>
      </c>
      <c r="G12" s="6" t="str">
        <f t="shared" si="0"/>
        <v>PASS</v>
      </c>
      <c r="H12" s="7" t="str">
        <f t="shared" si="1"/>
        <v>B</v>
      </c>
    </row>
    <row r="13" spans="1:8" ht="15.6" x14ac:dyDescent="0.3">
      <c r="A13" s="22" t="s">
        <v>11</v>
      </c>
      <c r="B13" s="5" t="s">
        <v>23</v>
      </c>
      <c r="C13" s="6"/>
      <c r="D13" s="6" t="s">
        <v>36</v>
      </c>
      <c r="E13" s="6">
        <v>16</v>
      </c>
      <c r="F13" s="6">
        <v>90</v>
      </c>
      <c r="G13" s="6" t="str">
        <f t="shared" si="0"/>
        <v>PASS</v>
      </c>
      <c r="H13" s="7" t="str">
        <f t="shared" si="1"/>
        <v>B</v>
      </c>
    </row>
    <row r="14" spans="1:8" ht="15.6" x14ac:dyDescent="0.3">
      <c r="A14" s="22" t="s">
        <v>12</v>
      </c>
      <c r="B14" s="5" t="s">
        <v>24</v>
      </c>
      <c r="C14" s="6" t="s">
        <v>34</v>
      </c>
      <c r="D14" s="6" t="s">
        <v>37</v>
      </c>
      <c r="E14" s="6">
        <v>16</v>
      </c>
      <c r="F14" s="6">
        <v>84</v>
      </c>
      <c r="G14" s="6" t="str">
        <f t="shared" si="0"/>
        <v>FAIL</v>
      </c>
      <c r="H14" s="7" t="str">
        <f t="shared" si="1"/>
        <v>C</v>
      </c>
    </row>
    <row r="15" spans="1:8" ht="15.6" x14ac:dyDescent="0.3">
      <c r="A15" s="22" t="s">
        <v>13</v>
      </c>
      <c r="B15" s="5" t="s">
        <v>16</v>
      </c>
      <c r="C15" s="6" t="s">
        <v>28</v>
      </c>
      <c r="D15" s="6" t="s">
        <v>37</v>
      </c>
      <c r="E15" s="6">
        <v>14</v>
      </c>
      <c r="F15" s="6">
        <v>89</v>
      </c>
      <c r="G15" s="6" t="str">
        <f t="shared" si="0"/>
        <v>PASS</v>
      </c>
      <c r="H15" s="7" t="str">
        <f t="shared" si="1"/>
        <v>B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3BBD-2FF1-41BC-AE87-E7306AC8C37C}">
  <dimension ref="A1:G13"/>
  <sheetViews>
    <sheetView zoomScaleNormal="100" workbookViewId="0">
      <selection activeCell="B16" sqref="B16"/>
    </sheetView>
  </sheetViews>
  <sheetFormatPr defaultRowHeight="14.4" x14ac:dyDescent="0.3"/>
  <cols>
    <col min="1" max="1" width="15" customWidth="1"/>
    <col min="2" max="2" width="13.21875" customWidth="1"/>
    <col min="3" max="3" width="15.77734375" bestFit="1" customWidth="1"/>
    <col min="4" max="4" width="18.21875" bestFit="1" customWidth="1"/>
    <col min="6" max="6" width="18.6640625" bestFit="1" customWidth="1"/>
    <col min="7" max="7" width="13.21875" customWidth="1"/>
  </cols>
  <sheetData>
    <row r="1" spans="1:7" ht="19.8" customHeight="1" x14ac:dyDescent="0.3">
      <c r="A1" s="26" t="s">
        <v>0</v>
      </c>
      <c r="B1" s="25" t="s">
        <v>14</v>
      </c>
      <c r="C1" s="25" t="s">
        <v>27</v>
      </c>
      <c r="D1" s="25" t="s">
        <v>35</v>
      </c>
      <c r="E1" s="25" t="s">
        <v>40</v>
      </c>
      <c r="F1" s="25" t="s">
        <v>39</v>
      </c>
    </row>
    <row r="2" spans="1:7" ht="15.6" x14ac:dyDescent="0.3">
      <c r="A2" s="22" t="s">
        <v>127</v>
      </c>
      <c r="B2" s="5" t="s">
        <v>15</v>
      </c>
      <c r="C2" s="6"/>
      <c r="D2" s="6" t="s">
        <v>37</v>
      </c>
      <c r="E2" s="6">
        <v>14</v>
      </c>
      <c r="F2" s="6">
        <v>89</v>
      </c>
      <c r="G2" t="str">
        <f>TRIM(A2)</f>
        <v>05 - JAN - 1346</v>
      </c>
    </row>
    <row r="3" spans="1:7" ht="15.6" x14ac:dyDescent="0.3">
      <c r="A3" s="22" t="s">
        <v>128</v>
      </c>
      <c r="B3" s="5" t="s">
        <v>16</v>
      </c>
      <c r="C3" s="6" t="s">
        <v>28</v>
      </c>
      <c r="D3" s="6" t="s">
        <v>37</v>
      </c>
      <c r="E3" s="6">
        <v>14</v>
      </c>
      <c r="F3" s="6">
        <v>89</v>
      </c>
      <c r="G3" t="str">
        <f>TRIM(A3)</f>
        <v>6 - JAN - 1346</v>
      </c>
    </row>
    <row r="4" spans="1:7" ht="15.6" x14ac:dyDescent="0.3">
      <c r="A4" s="22" t="s">
        <v>129</v>
      </c>
      <c r="B4" s="5" t="s">
        <v>17</v>
      </c>
      <c r="C4" s="6" t="s">
        <v>29</v>
      </c>
      <c r="D4" s="6" t="s">
        <v>38</v>
      </c>
      <c r="E4" s="6">
        <v>16</v>
      </c>
      <c r="F4" s="6">
        <v>78</v>
      </c>
      <c r="G4" t="str">
        <f t="shared" ref="G4:G13" si="0">TRIM(A4)</f>
        <v>7 - JAN - 1346</v>
      </c>
    </row>
    <row r="5" spans="1:7" ht="15.6" x14ac:dyDescent="0.3">
      <c r="A5" s="22" t="s">
        <v>130</v>
      </c>
      <c r="B5" s="5" t="s">
        <v>18</v>
      </c>
      <c r="C5" s="6" t="s">
        <v>30</v>
      </c>
      <c r="D5" s="6" t="s">
        <v>36</v>
      </c>
      <c r="E5" s="6"/>
      <c r="F5" s="6">
        <v>91</v>
      </c>
      <c r="G5" t="str">
        <f t="shared" si="0"/>
        <v>8 - JAN - 1346</v>
      </c>
    </row>
    <row r="6" spans="1:7" ht="15.6" x14ac:dyDescent="0.3">
      <c r="A6" s="22" t="s">
        <v>131</v>
      </c>
      <c r="B6" s="5" t="s">
        <v>19</v>
      </c>
      <c r="C6" s="6" t="s">
        <v>31</v>
      </c>
      <c r="D6" s="6" t="s">
        <v>38</v>
      </c>
      <c r="E6" s="6">
        <v>17</v>
      </c>
      <c r="F6" s="6">
        <v>85</v>
      </c>
      <c r="G6" t="str">
        <f t="shared" si="0"/>
        <v>9 - JAN - 1346</v>
      </c>
    </row>
    <row r="7" spans="1:7" ht="15.6" x14ac:dyDescent="0.3">
      <c r="A7" s="22" t="s">
        <v>132</v>
      </c>
      <c r="B7" s="5" t="s">
        <v>20</v>
      </c>
      <c r="C7" s="6" t="s">
        <v>34</v>
      </c>
      <c r="D7" s="6" t="s">
        <v>37</v>
      </c>
      <c r="E7" s="6">
        <v>16</v>
      </c>
      <c r="F7" s="6">
        <v>93</v>
      </c>
      <c r="G7" t="str">
        <f t="shared" si="0"/>
        <v>10 - JAN - 1346</v>
      </c>
    </row>
    <row r="8" spans="1:7" ht="15.6" x14ac:dyDescent="0.3">
      <c r="A8" s="22" t="s">
        <v>133</v>
      </c>
      <c r="B8" s="5" t="s">
        <v>21</v>
      </c>
      <c r="C8" s="6" t="s">
        <v>32</v>
      </c>
      <c r="D8" s="6" t="s">
        <v>38</v>
      </c>
      <c r="E8" s="6"/>
      <c r="F8" s="6">
        <v>80</v>
      </c>
      <c r="G8" t="str">
        <f t="shared" si="0"/>
        <v>11 - JAN - 1346</v>
      </c>
    </row>
    <row r="9" spans="1:7" ht="15.6" x14ac:dyDescent="0.3">
      <c r="A9" s="22" t="s">
        <v>134</v>
      </c>
      <c r="B9" s="5" t="s">
        <v>22</v>
      </c>
      <c r="C9" s="6" t="s">
        <v>30</v>
      </c>
      <c r="D9" s="6" t="s">
        <v>36</v>
      </c>
      <c r="E9" s="6">
        <v>17</v>
      </c>
      <c r="F9" s="6">
        <v>77</v>
      </c>
      <c r="G9" t="str">
        <f t="shared" si="0"/>
        <v>12 - JAN - 1346</v>
      </c>
    </row>
    <row r="10" spans="1:7" ht="15.6" x14ac:dyDescent="0.3">
      <c r="A10" s="22" t="s">
        <v>135</v>
      </c>
      <c r="B10" s="5" t="s">
        <v>25</v>
      </c>
      <c r="C10" s="6" t="s">
        <v>28</v>
      </c>
      <c r="D10" s="6" t="s">
        <v>38</v>
      </c>
      <c r="E10" s="6">
        <v>17</v>
      </c>
      <c r="F10" s="6">
        <v>88</v>
      </c>
      <c r="G10" t="str">
        <f t="shared" si="0"/>
        <v>13 - JAN - 1346</v>
      </c>
    </row>
    <row r="11" spans="1:7" ht="15.6" x14ac:dyDescent="0.3">
      <c r="A11" s="22" t="s">
        <v>136</v>
      </c>
      <c r="B11" s="5" t="s">
        <v>23</v>
      </c>
      <c r="C11" s="6"/>
      <c r="D11" s="6" t="s">
        <v>36</v>
      </c>
      <c r="E11" s="6">
        <v>16</v>
      </c>
      <c r="F11" s="6">
        <v>90</v>
      </c>
      <c r="G11" t="str">
        <f t="shared" si="0"/>
        <v>14 - JAN - 1346</v>
      </c>
    </row>
    <row r="12" spans="1:7" ht="15.6" x14ac:dyDescent="0.3">
      <c r="A12" s="22" t="s">
        <v>137</v>
      </c>
      <c r="B12" s="5" t="s">
        <v>24</v>
      </c>
      <c r="C12" s="6" t="s">
        <v>34</v>
      </c>
      <c r="D12" s="6" t="s">
        <v>37</v>
      </c>
      <c r="E12" s="6">
        <v>16</v>
      </c>
      <c r="F12" s="6">
        <v>84</v>
      </c>
      <c r="G12" t="str">
        <f t="shared" si="0"/>
        <v>15 - JAN - 1346</v>
      </c>
    </row>
    <row r="13" spans="1:7" ht="15.6" x14ac:dyDescent="0.3">
      <c r="A13" s="22" t="s">
        <v>138</v>
      </c>
      <c r="B13" s="5" t="s">
        <v>16</v>
      </c>
      <c r="C13" s="6" t="s">
        <v>28</v>
      </c>
      <c r="D13" s="6" t="s">
        <v>37</v>
      </c>
      <c r="E13" s="6">
        <v>14</v>
      </c>
      <c r="F13" s="6">
        <v>89</v>
      </c>
      <c r="G13" t="str">
        <f t="shared" si="0"/>
        <v>16 - JAN - 1346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130D-B3B9-4914-BE38-89A2121E5FC9}">
  <dimension ref="A1:P53"/>
  <sheetViews>
    <sheetView tabSelected="1" zoomScale="55" zoomScaleNormal="55" workbookViewId="0">
      <selection activeCell="H15" sqref="H15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3.6640625" bestFit="1" customWidth="1"/>
    <col min="4" max="4" width="10.109375" bestFit="1" customWidth="1"/>
    <col min="5" max="5" width="10.5546875" bestFit="1" customWidth="1"/>
    <col min="6" max="7" width="10.77734375" bestFit="1" customWidth="1"/>
    <col min="8" max="8" width="19" customWidth="1"/>
    <col min="9" max="9" width="16.77734375" customWidth="1"/>
    <col min="10" max="10" width="12.77734375" customWidth="1"/>
    <col min="11" max="11" width="13.44140625" bestFit="1" customWidth="1"/>
    <col min="12" max="12" width="13.33203125" customWidth="1"/>
    <col min="13" max="13" width="17.5546875" customWidth="1"/>
    <col min="14" max="14" width="14.5546875" customWidth="1"/>
    <col min="15" max="15" width="16.21875" bestFit="1" customWidth="1"/>
  </cols>
  <sheetData>
    <row r="1" spans="1:16" x14ac:dyDescent="0.3">
      <c r="A1" t="s">
        <v>50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H1" s="31" t="s">
        <v>139</v>
      </c>
      <c r="I1" s="31" t="s">
        <v>140</v>
      </c>
      <c r="J1" s="31" t="s">
        <v>141</v>
      </c>
      <c r="K1" s="31" t="s">
        <v>142</v>
      </c>
      <c r="L1" s="32" t="s">
        <v>143</v>
      </c>
      <c r="M1" s="31" t="s">
        <v>233</v>
      </c>
      <c r="N1" s="31" t="s">
        <v>239</v>
      </c>
      <c r="O1" s="31" t="s">
        <v>238</v>
      </c>
      <c r="P1" s="31" t="s">
        <v>237</v>
      </c>
    </row>
    <row r="2" spans="1:16" x14ac:dyDescent="0.3">
      <c r="A2" t="s">
        <v>144</v>
      </c>
      <c r="B2" t="s">
        <v>56</v>
      </c>
      <c r="C2" t="s">
        <v>145</v>
      </c>
      <c r="D2">
        <v>1000</v>
      </c>
      <c r="E2">
        <v>30</v>
      </c>
      <c r="F2" t="s">
        <v>146</v>
      </c>
      <c r="H2" s="33" t="s">
        <v>56</v>
      </c>
      <c r="I2" s="33" t="s">
        <v>145</v>
      </c>
      <c r="J2" s="33">
        <v>1000</v>
      </c>
      <c r="K2" s="33">
        <v>30</v>
      </c>
      <c r="L2" s="34" t="s">
        <v>146</v>
      </c>
      <c r="M2" s="33" t="str">
        <f t="shared" ref="M2:M35" si="0">IF(D2&gt;=500,"Hige price","Low price")</f>
        <v>Hige price</v>
      </c>
      <c r="N2" s="33" t="str">
        <f t="shared" ref="N2:N35" si="1">RIGHT(A2,2)</f>
        <v>US</v>
      </c>
      <c r="O2" s="33" t="str">
        <f t="shared" ref="O2:O35" si="2">MID(A2,4,3)</f>
        <v>JAN</v>
      </c>
      <c r="P2" s="33" t="str">
        <f t="shared" ref="P2:P35" si="3">LEFT(A2,2)</f>
        <v>28</v>
      </c>
    </row>
    <row r="3" spans="1:16" x14ac:dyDescent="0.3">
      <c r="A3" t="s">
        <v>147</v>
      </c>
      <c r="B3" t="s">
        <v>148</v>
      </c>
      <c r="C3" t="s">
        <v>149</v>
      </c>
      <c r="D3">
        <v>80</v>
      </c>
      <c r="E3">
        <v>15</v>
      </c>
      <c r="F3" t="s">
        <v>150</v>
      </c>
      <c r="H3" s="33" t="s">
        <v>148</v>
      </c>
      <c r="I3" s="33" t="s">
        <v>149</v>
      </c>
      <c r="J3" s="33">
        <v>80</v>
      </c>
      <c r="K3" s="33">
        <v>15</v>
      </c>
      <c r="L3" s="34" t="s">
        <v>150</v>
      </c>
      <c r="M3" s="33" t="str">
        <f t="shared" si="0"/>
        <v>Low price</v>
      </c>
      <c r="N3" s="33" t="str">
        <f t="shared" si="1"/>
        <v>US</v>
      </c>
      <c r="O3" s="33" t="str">
        <f t="shared" si="2"/>
        <v>FEB</v>
      </c>
      <c r="P3" s="33" t="str">
        <f t="shared" si="3"/>
        <v>15</v>
      </c>
    </row>
    <row r="4" spans="1:16" x14ac:dyDescent="0.3">
      <c r="A4" t="s">
        <v>151</v>
      </c>
      <c r="B4" t="s">
        <v>152</v>
      </c>
      <c r="C4" t="s">
        <v>153</v>
      </c>
      <c r="D4">
        <v>130</v>
      </c>
      <c r="E4">
        <v>40</v>
      </c>
      <c r="F4" t="s">
        <v>154</v>
      </c>
      <c r="H4" s="33" t="s">
        <v>152</v>
      </c>
      <c r="I4" s="33" t="s">
        <v>153</v>
      </c>
      <c r="J4" s="33">
        <v>130</v>
      </c>
      <c r="K4" s="33">
        <v>40</v>
      </c>
      <c r="L4" s="34" t="s">
        <v>154</v>
      </c>
      <c r="M4" s="33" t="str">
        <f t="shared" si="0"/>
        <v>Low price</v>
      </c>
      <c r="N4" s="33" t="str">
        <f t="shared" si="1"/>
        <v>US</v>
      </c>
      <c r="O4" s="33" t="str">
        <f t="shared" si="2"/>
        <v>MAR</v>
      </c>
      <c r="P4" s="33" t="str">
        <f t="shared" si="3"/>
        <v>03</v>
      </c>
    </row>
    <row r="5" spans="1:16" x14ac:dyDescent="0.3">
      <c r="A5" t="s">
        <v>155</v>
      </c>
      <c r="B5" t="s">
        <v>57</v>
      </c>
      <c r="C5" t="s">
        <v>156</v>
      </c>
      <c r="D5">
        <v>900</v>
      </c>
      <c r="E5">
        <v>25</v>
      </c>
      <c r="F5" t="s">
        <v>146</v>
      </c>
      <c r="H5" s="33" t="s">
        <v>57</v>
      </c>
      <c r="I5" s="33" t="s">
        <v>156</v>
      </c>
      <c r="J5" s="33">
        <v>900</v>
      </c>
      <c r="K5" s="33">
        <v>25</v>
      </c>
      <c r="L5" s="34" t="s">
        <v>146</v>
      </c>
      <c r="M5" s="33" t="str">
        <f t="shared" si="0"/>
        <v>Hige price</v>
      </c>
      <c r="N5" s="33" t="str">
        <f t="shared" si="1"/>
        <v>US</v>
      </c>
      <c r="O5" s="33" t="str">
        <f t="shared" si="2"/>
        <v>APR</v>
      </c>
      <c r="P5" s="33" t="str">
        <f t="shared" si="3"/>
        <v>11</v>
      </c>
    </row>
    <row r="6" spans="1:16" x14ac:dyDescent="0.3">
      <c r="A6" t="s">
        <v>157</v>
      </c>
      <c r="B6" t="s">
        <v>158</v>
      </c>
      <c r="C6" t="s">
        <v>159</v>
      </c>
      <c r="D6">
        <v>70</v>
      </c>
      <c r="E6">
        <v>20</v>
      </c>
      <c r="F6" t="s">
        <v>160</v>
      </c>
      <c r="H6" s="33" t="s">
        <v>158</v>
      </c>
      <c r="I6" s="33" t="s">
        <v>159</v>
      </c>
      <c r="J6" s="33">
        <v>70</v>
      </c>
      <c r="K6" s="33">
        <v>20</v>
      </c>
      <c r="L6" s="34" t="s">
        <v>160</v>
      </c>
      <c r="M6" s="33" t="str">
        <f t="shared" si="0"/>
        <v>Low price</v>
      </c>
      <c r="N6" s="33" t="str">
        <f t="shared" si="1"/>
        <v>US</v>
      </c>
      <c r="O6" s="33" t="str">
        <f t="shared" si="2"/>
        <v>MAY</v>
      </c>
      <c r="P6" s="33" t="str">
        <f t="shared" si="3"/>
        <v>22</v>
      </c>
    </row>
    <row r="7" spans="1:16" x14ac:dyDescent="0.3">
      <c r="A7" t="s">
        <v>161</v>
      </c>
      <c r="B7" t="s">
        <v>162</v>
      </c>
      <c r="C7" t="s">
        <v>163</v>
      </c>
      <c r="D7">
        <v>200</v>
      </c>
      <c r="E7">
        <v>45</v>
      </c>
      <c r="F7" t="s">
        <v>146</v>
      </c>
      <c r="H7" s="33" t="s">
        <v>162</v>
      </c>
      <c r="I7" s="33" t="s">
        <v>163</v>
      </c>
      <c r="J7" s="33">
        <v>200</v>
      </c>
      <c r="K7" s="33">
        <v>45</v>
      </c>
      <c r="L7" s="34" t="s">
        <v>146</v>
      </c>
      <c r="M7" s="33" t="str">
        <f t="shared" si="0"/>
        <v>Low price</v>
      </c>
      <c r="N7" s="33" t="str">
        <f t="shared" si="1"/>
        <v>UK</v>
      </c>
      <c r="O7" s="33" t="str">
        <f t="shared" si="2"/>
        <v>JUN</v>
      </c>
      <c r="P7" s="33" t="str">
        <f t="shared" si="3"/>
        <v>07</v>
      </c>
    </row>
    <row r="8" spans="1:16" x14ac:dyDescent="0.3">
      <c r="A8" t="s">
        <v>164</v>
      </c>
      <c r="B8" t="s">
        <v>165</v>
      </c>
      <c r="C8" t="s">
        <v>166</v>
      </c>
      <c r="D8">
        <v>30</v>
      </c>
      <c r="E8">
        <v>5</v>
      </c>
      <c r="F8" t="s">
        <v>150</v>
      </c>
      <c r="H8" s="33" t="s">
        <v>165</v>
      </c>
      <c r="I8" s="33" t="s">
        <v>166</v>
      </c>
      <c r="J8" s="33">
        <v>30</v>
      </c>
      <c r="K8" s="33">
        <v>5</v>
      </c>
      <c r="L8" s="34" t="s">
        <v>150</v>
      </c>
      <c r="M8" s="33" t="str">
        <f t="shared" si="0"/>
        <v>Low price</v>
      </c>
      <c r="N8" s="33" t="str">
        <f t="shared" si="1"/>
        <v>UK</v>
      </c>
      <c r="O8" s="33" t="str">
        <f t="shared" si="2"/>
        <v>JUL</v>
      </c>
      <c r="P8" s="33" t="str">
        <f t="shared" si="3"/>
        <v>19</v>
      </c>
    </row>
    <row r="9" spans="1:16" x14ac:dyDescent="0.3">
      <c r="A9" t="s">
        <v>167</v>
      </c>
      <c r="B9" t="s">
        <v>168</v>
      </c>
      <c r="C9" t="s">
        <v>169</v>
      </c>
      <c r="D9">
        <v>90</v>
      </c>
      <c r="E9">
        <v>35</v>
      </c>
      <c r="F9" t="s">
        <v>154</v>
      </c>
      <c r="H9" s="33" t="s">
        <v>168</v>
      </c>
      <c r="I9" s="33" t="s">
        <v>169</v>
      </c>
      <c r="J9" s="33">
        <v>90</v>
      </c>
      <c r="K9" s="33">
        <v>35</v>
      </c>
      <c r="L9" s="34" t="s">
        <v>154</v>
      </c>
      <c r="M9" s="33" t="str">
        <f t="shared" si="0"/>
        <v>Low price</v>
      </c>
      <c r="N9" s="33" t="str">
        <f t="shared" si="1"/>
        <v>UK</v>
      </c>
      <c r="O9" s="33" t="str">
        <f t="shared" si="2"/>
        <v>AUG</v>
      </c>
      <c r="P9" s="33" t="str">
        <f t="shared" si="3"/>
        <v>23</v>
      </c>
    </row>
    <row r="10" spans="1:16" x14ac:dyDescent="0.3">
      <c r="A10" t="s">
        <v>170</v>
      </c>
      <c r="B10" t="s">
        <v>58</v>
      </c>
      <c r="C10" t="s">
        <v>42</v>
      </c>
      <c r="D10">
        <v>500</v>
      </c>
      <c r="E10">
        <v>50</v>
      </c>
      <c r="F10" t="s">
        <v>146</v>
      </c>
      <c r="H10" s="33" t="s">
        <v>58</v>
      </c>
      <c r="I10" s="33" t="s">
        <v>42</v>
      </c>
      <c r="J10" s="33">
        <v>500</v>
      </c>
      <c r="K10" s="33">
        <v>50</v>
      </c>
      <c r="L10" s="34" t="s">
        <v>146</v>
      </c>
      <c r="M10" s="33" t="str">
        <f t="shared" si="0"/>
        <v>Hige price</v>
      </c>
      <c r="N10" s="33" t="str">
        <f t="shared" si="1"/>
        <v>UK</v>
      </c>
      <c r="O10" s="33" t="str">
        <f t="shared" si="2"/>
        <v>SEP</v>
      </c>
      <c r="P10" s="33" t="str">
        <f t="shared" si="3"/>
        <v>05</v>
      </c>
    </row>
    <row r="11" spans="1:16" x14ac:dyDescent="0.3">
      <c r="A11" t="s">
        <v>171</v>
      </c>
      <c r="B11" t="s">
        <v>172</v>
      </c>
      <c r="C11" t="s">
        <v>173</v>
      </c>
      <c r="D11">
        <v>130</v>
      </c>
      <c r="E11">
        <v>10</v>
      </c>
      <c r="F11" t="s">
        <v>160</v>
      </c>
      <c r="H11" s="33" t="s">
        <v>172</v>
      </c>
      <c r="I11" s="33" t="s">
        <v>173</v>
      </c>
      <c r="J11" s="33">
        <v>130</v>
      </c>
      <c r="K11" s="33">
        <v>10</v>
      </c>
      <c r="L11" s="34" t="s">
        <v>160</v>
      </c>
      <c r="M11" s="33" t="str">
        <f t="shared" si="0"/>
        <v>Low price</v>
      </c>
      <c r="N11" s="33" t="str">
        <f t="shared" si="1"/>
        <v>UK</v>
      </c>
      <c r="O11" s="33" t="str">
        <f t="shared" si="2"/>
        <v>OCT</v>
      </c>
      <c r="P11" s="33" t="str">
        <f t="shared" si="3"/>
        <v>14</v>
      </c>
    </row>
    <row r="12" spans="1:16" x14ac:dyDescent="0.3">
      <c r="A12" t="s">
        <v>174</v>
      </c>
      <c r="B12" t="s">
        <v>56</v>
      </c>
      <c r="C12" t="s">
        <v>175</v>
      </c>
      <c r="D12">
        <v>950</v>
      </c>
      <c r="E12">
        <v>25</v>
      </c>
      <c r="F12" t="s">
        <v>146</v>
      </c>
      <c r="H12" s="33" t="s">
        <v>56</v>
      </c>
      <c r="I12" s="33" t="s">
        <v>175</v>
      </c>
      <c r="J12" s="33">
        <v>950</v>
      </c>
      <c r="K12" s="33">
        <v>25</v>
      </c>
      <c r="L12" s="34" t="s">
        <v>146</v>
      </c>
      <c r="M12" s="33" t="str">
        <f t="shared" si="0"/>
        <v>Hige price</v>
      </c>
      <c r="N12" s="33" t="str">
        <f t="shared" si="1"/>
        <v>IN</v>
      </c>
      <c r="O12" s="33" t="str">
        <f t="shared" si="2"/>
        <v>JUN</v>
      </c>
      <c r="P12" s="33" t="str">
        <f t="shared" si="3"/>
        <v>17</v>
      </c>
    </row>
    <row r="13" spans="1:16" x14ac:dyDescent="0.3">
      <c r="A13" t="s">
        <v>176</v>
      </c>
      <c r="B13" t="s">
        <v>148</v>
      </c>
      <c r="C13" t="s">
        <v>166</v>
      </c>
      <c r="D13">
        <v>90</v>
      </c>
      <c r="E13">
        <v>40</v>
      </c>
      <c r="F13" t="s">
        <v>150</v>
      </c>
      <c r="H13" s="33" t="s">
        <v>148</v>
      </c>
      <c r="I13" s="33" t="s">
        <v>166</v>
      </c>
      <c r="J13" s="33">
        <v>90</v>
      </c>
      <c r="K13" s="33">
        <v>40</v>
      </c>
      <c r="L13" s="34" t="s">
        <v>150</v>
      </c>
      <c r="M13" s="33" t="str">
        <f t="shared" si="0"/>
        <v>Low price</v>
      </c>
      <c r="N13" s="33" t="str">
        <f t="shared" si="1"/>
        <v>AU</v>
      </c>
      <c r="O13" s="33" t="str">
        <f t="shared" si="2"/>
        <v>NOV</v>
      </c>
      <c r="P13" s="33" t="str">
        <f t="shared" si="3"/>
        <v>25</v>
      </c>
    </row>
    <row r="14" spans="1:16" x14ac:dyDescent="0.3">
      <c r="A14" t="s">
        <v>177</v>
      </c>
      <c r="B14" t="s">
        <v>152</v>
      </c>
      <c r="C14" t="s">
        <v>178</v>
      </c>
      <c r="D14">
        <v>120</v>
      </c>
      <c r="E14">
        <v>35</v>
      </c>
      <c r="F14" t="s">
        <v>154</v>
      </c>
      <c r="H14" s="33" t="s">
        <v>152</v>
      </c>
      <c r="I14" s="33" t="s">
        <v>178</v>
      </c>
      <c r="J14" s="33">
        <v>120</v>
      </c>
      <c r="K14" s="33">
        <v>35</v>
      </c>
      <c r="L14" s="34" t="s">
        <v>154</v>
      </c>
      <c r="M14" s="33" t="str">
        <f t="shared" si="0"/>
        <v>Low price</v>
      </c>
      <c r="N14" s="33" t="str">
        <f t="shared" si="1"/>
        <v>DE</v>
      </c>
      <c r="O14" s="33" t="str">
        <f t="shared" si="2"/>
        <v>DEC</v>
      </c>
      <c r="P14" s="33" t="str">
        <f t="shared" si="3"/>
        <v>08</v>
      </c>
    </row>
    <row r="15" spans="1:16" x14ac:dyDescent="0.3">
      <c r="A15" t="s">
        <v>179</v>
      </c>
      <c r="B15" t="s">
        <v>180</v>
      </c>
      <c r="C15" t="s">
        <v>181</v>
      </c>
      <c r="D15">
        <v>150</v>
      </c>
      <c r="E15">
        <v>15</v>
      </c>
      <c r="F15" t="s">
        <v>146</v>
      </c>
      <c r="H15" s="33" t="s">
        <v>180</v>
      </c>
      <c r="I15" s="33" t="s">
        <v>181</v>
      </c>
      <c r="J15" s="33">
        <v>150</v>
      </c>
      <c r="K15" s="33">
        <v>15</v>
      </c>
      <c r="L15" s="34" t="s">
        <v>146</v>
      </c>
      <c r="M15" s="33" t="str">
        <f t="shared" si="0"/>
        <v>Low price</v>
      </c>
      <c r="N15" s="33" t="str">
        <f t="shared" si="1"/>
        <v>CA</v>
      </c>
      <c r="O15" s="33" t="str">
        <f t="shared" si="2"/>
        <v>FEB</v>
      </c>
      <c r="P15" s="33" t="str">
        <f t="shared" si="3"/>
        <v>18</v>
      </c>
    </row>
    <row r="16" spans="1:16" x14ac:dyDescent="0.3">
      <c r="A16" t="s">
        <v>182</v>
      </c>
      <c r="B16" t="s">
        <v>162</v>
      </c>
      <c r="C16" t="s">
        <v>183</v>
      </c>
      <c r="D16">
        <v>250</v>
      </c>
      <c r="E16">
        <v>20</v>
      </c>
      <c r="F16" t="s">
        <v>146</v>
      </c>
      <c r="H16" s="33" t="s">
        <v>162</v>
      </c>
      <c r="I16" s="33" t="s">
        <v>183</v>
      </c>
      <c r="J16" s="33">
        <v>250</v>
      </c>
      <c r="K16" s="33">
        <v>20</v>
      </c>
      <c r="L16" s="34" t="s">
        <v>146</v>
      </c>
      <c r="M16" s="33" t="str">
        <f t="shared" si="0"/>
        <v>Low price</v>
      </c>
      <c r="N16" s="33" t="str">
        <f t="shared" si="1"/>
        <v>ES</v>
      </c>
      <c r="O16" s="33" t="str">
        <f t="shared" si="2"/>
        <v>APR</v>
      </c>
      <c r="P16" s="33" t="str">
        <f t="shared" si="3"/>
        <v>16</v>
      </c>
    </row>
    <row r="17" spans="1:16" x14ac:dyDescent="0.3">
      <c r="A17" t="s">
        <v>184</v>
      </c>
      <c r="B17" t="s">
        <v>185</v>
      </c>
      <c r="C17" t="s">
        <v>186</v>
      </c>
      <c r="D17">
        <v>50</v>
      </c>
      <c r="E17">
        <v>35</v>
      </c>
      <c r="F17" t="s">
        <v>187</v>
      </c>
      <c r="H17" s="33" t="s">
        <v>185</v>
      </c>
      <c r="I17" s="33" t="s">
        <v>186</v>
      </c>
      <c r="J17" s="33">
        <v>50</v>
      </c>
      <c r="K17" s="33">
        <v>35</v>
      </c>
      <c r="L17" s="34" t="s">
        <v>187</v>
      </c>
      <c r="M17" s="33" t="str">
        <f t="shared" si="0"/>
        <v>Low price</v>
      </c>
      <c r="N17" s="33" t="str">
        <f t="shared" si="1"/>
        <v>CA</v>
      </c>
      <c r="O17" s="33" t="str">
        <f t="shared" si="2"/>
        <v>AUG</v>
      </c>
      <c r="P17" s="33" t="str">
        <f t="shared" si="3"/>
        <v>21</v>
      </c>
    </row>
    <row r="18" spans="1:16" x14ac:dyDescent="0.3">
      <c r="A18" t="s">
        <v>188</v>
      </c>
      <c r="B18" t="s">
        <v>180</v>
      </c>
      <c r="C18" t="s">
        <v>189</v>
      </c>
      <c r="D18">
        <v>160</v>
      </c>
      <c r="E18">
        <v>15</v>
      </c>
      <c r="F18" t="s">
        <v>146</v>
      </c>
      <c r="H18" s="33" t="s">
        <v>180</v>
      </c>
      <c r="I18" s="33" t="s">
        <v>189</v>
      </c>
      <c r="J18" s="33">
        <v>160</v>
      </c>
      <c r="K18" s="33">
        <v>15</v>
      </c>
      <c r="L18" s="34" t="s">
        <v>146</v>
      </c>
      <c r="M18" s="33" t="str">
        <f t="shared" si="0"/>
        <v>Low price</v>
      </c>
      <c r="N18" s="33" t="str">
        <f t="shared" si="1"/>
        <v>CN</v>
      </c>
      <c r="O18" s="33" t="str">
        <f t="shared" si="2"/>
        <v>AUG</v>
      </c>
      <c r="P18" s="33" t="str">
        <f t="shared" si="3"/>
        <v>20</v>
      </c>
    </row>
    <row r="19" spans="1:16" x14ac:dyDescent="0.3">
      <c r="A19" t="s">
        <v>190</v>
      </c>
      <c r="B19" t="s">
        <v>56</v>
      </c>
      <c r="C19" t="s">
        <v>191</v>
      </c>
      <c r="D19">
        <v>980</v>
      </c>
      <c r="E19">
        <v>10</v>
      </c>
      <c r="F19" t="s">
        <v>146</v>
      </c>
      <c r="H19" s="33" t="s">
        <v>56</v>
      </c>
      <c r="I19" s="33" t="s">
        <v>191</v>
      </c>
      <c r="J19" s="33">
        <v>980</v>
      </c>
      <c r="K19" s="33">
        <v>10</v>
      </c>
      <c r="L19" s="34" t="s">
        <v>146</v>
      </c>
      <c r="M19" s="33" t="str">
        <f t="shared" si="0"/>
        <v>Hige price</v>
      </c>
      <c r="N19" s="33" t="str">
        <f t="shared" si="1"/>
        <v>IT</v>
      </c>
      <c r="O19" s="33" t="str">
        <f t="shared" si="2"/>
        <v>JAN</v>
      </c>
      <c r="P19" s="33" t="str">
        <f t="shared" si="3"/>
        <v>27</v>
      </c>
    </row>
    <row r="20" spans="1:16" x14ac:dyDescent="0.3">
      <c r="A20" t="s">
        <v>192</v>
      </c>
      <c r="B20" t="s">
        <v>193</v>
      </c>
      <c r="C20" t="s">
        <v>194</v>
      </c>
      <c r="D20">
        <v>150</v>
      </c>
      <c r="E20">
        <v>15</v>
      </c>
      <c r="F20" t="s">
        <v>150</v>
      </c>
      <c r="H20" s="33" t="s">
        <v>193</v>
      </c>
      <c r="I20" s="33" t="s">
        <v>194</v>
      </c>
      <c r="J20" s="33">
        <v>150</v>
      </c>
      <c r="K20" s="33">
        <v>15</v>
      </c>
      <c r="L20" s="34" t="s">
        <v>150</v>
      </c>
      <c r="M20" s="33" t="str">
        <f t="shared" si="0"/>
        <v>Low price</v>
      </c>
      <c r="N20" s="33" t="str">
        <f t="shared" si="1"/>
        <v>UK</v>
      </c>
      <c r="O20" s="33" t="str">
        <f t="shared" si="2"/>
        <v>MAR</v>
      </c>
      <c r="P20" s="33" t="str">
        <f t="shared" si="3"/>
        <v>01</v>
      </c>
    </row>
    <row r="21" spans="1:16" x14ac:dyDescent="0.3">
      <c r="A21" t="s">
        <v>195</v>
      </c>
      <c r="B21" t="s">
        <v>196</v>
      </c>
      <c r="C21" t="s">
        <v>197</v>
      </c>
      <c r="D21">
        <v>200</v>
      </c>
      <c r="E21">
        <v>10</v>
      </c>
      <c r="F21" t="s">
        <v>160</v>
      </c>
      <c r="H21" s="33" t="s">
        <v>196</v>
      </c>
      <c r="I21" s="33" t="s">
        <v>197</v>
      </c>
      <c r="J21" s="33">
        <v>200</v>
      </c>
      <c r="K21" s="33">
        <v>10</v>
      </c>
      <c r="L21" s="34" t="s">
        <v>160</v>
      </c>
      <c r="M21" s="33" t="str">
        <f t="shared" si="0"/>
        <v>Low price</v>
      </c>
      <c r="N21" s="33" t="str">
        <f t="shared" si="1"/>
        <v>US</v>
      </c>
      <c r="O21" s="33" t="str">
        <f t="shared" si="2"/>
        <v>AUG</v>
      </c>
      <c r="P21" s="33" t="str">
        <f t="shared" si="3"/>
        <v>14</v>
      </c>
    </row>
    <row r="22" spans="1:16" x14ac:dyDescent="0.3">
      <c r="A22" t="s">
        <v>198</v>
      </c>
      <c r="B22" t="s">
        <v>199</v>
      </c>
      <c r="C22" t="s">
        <v>200</v>
      </c>
      <c r="D22">
        <v>700</v>
      </c>
      <c r="E22">
        <v>50</v>
      </c>
      <c r="F22" t="s">
        <v>146</v>
      </c>
      <c r="H22" s="33" t="s">
        <v>199</v>
      </c>
      <c r="I22" s="33" t="s">
        <v>200</v>
      </c>
      <c r="J22" s="33">
        <v>700</v>
      </c>
      <c r="K22" s="33">
        <v>50</v>
      </c>
      <c r="L22" s="34" t="s">
        <v>146</v>
      </c>
      <c r="M22" s="33" t="str">
        <f t="shared" si="0"/>
        <v>Hige price</v>
      </c>
      <c r="N22" s="33" t="str">
        <f t="shared" si="1"/>
        <v>RU</v>
      </c>
      <c r="O22" s="33" t="str">
        <f t="shared" si="2"/>
        <v>MAY</v>
      </c>
      <c r="P22" s="33" t="str">
        <f t="shared" si="3"/>
        <v>14</v>
      </c>
    </row>
    <row r="23" spans="1:16" x14ac:dyDescent="0.3">
      <c r="A23" t="s">
        <v>201</v>
      </c>
      <c r="B23" t="s">
        <v>202</v>
      </c>
      <c r="C23" t="s">
        <v>203</v>
      </c>
      <c r="D23">
        <v>80</v>
      </c>
      <c r="E23">
        <v>20</v>
      </c>
      <c r="F23" t="s">
        <v>154</v>
      </c>
      <c r="H23" s="33" t="s">
        <v>202</v>
      </c>
      <c r="I23" s="33" t="s">
        <v>203</v>
      </c>
      <c r="J23" s="33">
        <v>80</v>
      </c>
      <c r="K23" s="33">
        <v>20</v>
      </c>
      <c r="L23" s="34" t="s">
        <v>154</v>
      </c>
      <c r="M23" s="33" t="str">
        <f t="shared" si="0"/>
        <v>Low price</v>
      </c>
      <c r="N23" s="33" t="str">
        <f t="shared" si="1"/>
        <v>CA</v>
      </c>
      <c r="O23" s="33" t="str">
        <f t="shared" si="2"/>
        <v>JAN</v>
      </c>
      <c r="P23" s="33" t="str">
        <f t="shared" si="3"/>
        <v>09</v>
      </c>
    </row>
    <row r="24" spans="1:16" x14ac:dyDescent="0.3">
      <c r="A24" t="s">
        <v>204</v>
      </c>
      <c r="B24" t="s">
        <v>205</v>
      </c>
      <c r="C24" t="s">
        <v>206</v>
      </c>
      <c r="D24">
        <v>150</v>
      </c>
      <c r="E24">
        <v>30</v>
      </c>
      <c r="F24" t="s">
        <v>146</v>
      </c>
      <c r="H24" s="33" t="s">
        <v>205</v>
      </c>
      <c r="I24" s="33" t="s">
        <v>206</v>
      </c>
      <c r="J24" s="33">
        <v>150</v>
      </c>
      <c r="K24" s="33">
        <v>30</v>
      </c>
      <c r="L24" s="34" t="s">
        <v>146</v>
      </c>
      <c r="M24" s="33" t="str">
        <f t="shared" si="0"/>
        <v>Low price</v>
      </c>
      <c r="N24" s="33" t="str">
        <f t="shared" si="1"/>
        <v>BR</v>
      </c>
      <c r="O24" s="33" t="str">
        <f t="shared" si="2"/>
        <v>JUL</v>
      </c>
      <c r="P24" s="33" t="str">
        <f t="shared" si="3"/>
        <v>19</v>
      </c>
    </row>
    <row r="25" spans="1:16" x14ac:dyDescent="0.3">
      <c r="A25" t="s">
        <v>184</v>
      </c>
      <c r="B25" t="s">
        <v>185</v>
      </c>
      <c r="C25" t="s">
        <v>186</v>
      </c>
      <c r="D25">
        <v>50</v>
      </c>
      <c r="E25">
        <v>35</v>
      </c>
      <c r="F25" t="s">
        <v>187</v>
      </c>
      <c r="H25" s="33" t="s">
        <v>185</v>
      </c>
      <c r="I25" s="33" t="s">
        <v>186</v>
      </c>
      <c r="J25" s="33">
        <v>50</v>
      </c>
      <c r="K25" s="33">
        <v>35</v>
      </c>
      <c r="L25" s="34" t="s">
        <v>187</v>
      </c>
      <c r="M25" s="33" t="str">
        <f t="shared" si="0"/>
        <v>Low price</v>
      </c>
      <c r="N25" s="33" t="str">
        <f t="shared" si="1"/>
        <v>CA</v>
      </c>
      <c r="O25" s="33" t="str">
        <f t="shared" si="2"/>
        <v>AUG</v>
      </c>
      <c r="P25" s="33" t="str">
        <f t="shared" si="3"/>
        <v>21</v>
      </c>
    </row>
    <row r="26" spans="1:16" x14ac:dyDescent="0.3">
      <c r="A26" t="s">
        <v>207</v>
      </c>
      <c r="B26" t="s">
        <v>57</v>
      </c>
      <c r="C26" t="s">
        <v>208</v>
      </c>
      <c r="D26">
        <v>800</v>
      </c>
      <c r="E26">
        <v>45</v>
      </c>
      <c r="F26" t="s">
        <v>146</v>
      </c>
      <c r="H26" s="33" t="s">
        <v>57</v>
      </c>
      <c r="I26" s="33" t="s">
        <v>208</v>
      </c>
      <c r="J26" s="33">
        <v>800</v>
      </c>
      <c r="K26" s="33">
        <v>45</v>
      </c>
      <c r="L26" s="34" t="s">
        <v>146</v>
      </c>
      <c r="M26" s="33" t="str">
        <f t="shared" si="0"/>
        <v>Hige price</v>
      </c>
      <c r="N26" s="33" t="str">
        <f t="shared" si="1"/>
        <v>CA</v>
      </c>
      <c r="O26" s="33" t="str">
        <f t="shared" si="2"/>
        <v>SEP</v>
      </c>
      <c r="P26" s="33" t="str">
        <f t="shared" si="3"/>
        <v>29</v>
      </c>
    </row>
    <row r="27" spans="1:16" x14ac:dyDescent="0.3">
      <c r="A27" t="s">
        <v>209</v>
      </c>
      <c r="B27" t="s">
        <v>193</v>
      </c>
      <c r="C27" t="s">
        <v>210</v>
      </c>
      <c r="D27">
        <v>130</v>
      </c>
      <c r="E27">
        <v>25</v>
      </c>
      <c r="F27" t="s">
        <v>150</v>
      </c>
      <c r="H27" s="33" t="s">
        <v>193</v>
      </c>
      <c r="I27" s="33" t="s">
        <v>210</v>
      </c>
      <c r="J27" s="33">
        <v>130</v>
      </c>
      <c r="K27" s="33">
        <v>25</v>
      </c>
      <c r="L27" s="34" t="s">
        <v>150</v>
      </c>
      <c r="M27" s="33" t="str">
        <f t="shared" si="0"/>
        <v>Low price</v>
      </c>
      <c r="N27" s="33" t="str">
        <f t="shared" si="1"/>
        <v>CA</v>
      </c>
      <c r="O27" s="33" t="str">
        <f t="shared" si="2"/>
        <v>JUN</v>
      </c>
      <c r="P27" s="33" t="str">
        <f t="shared" si="3"/>
        <v>03</v>
      </c>
    </row>
    <row r="28" spans="1:16" x14ac:dyDescent="0.3">
      <c r="A28" t="s">
        <v>211</v>
      </c>
      <c r="B28" t="s">
        <v>168</v>
      </c>
      <c r="C28" t="s">
        <v>212</v>
      </c>
      <c r="D28">
        <v>400</v>
      </c>
      <c r="E28">
        <v>40</v>
      </c>
      <c r="F28" t="s">
        <v>154</v>
      </c>
      <c r="H28" s="33" t="s">
        <v>168</v>
      </c>
      <c r="I28" s="33" t="s">
        <v>212</v>
      </c>
      <c r="J28" s="33">
        <v>400</v>
      </c>
      <c r="K28" s="33">
        <v>40</v>
      </c>
      <c r="L28" s="34" t="s">
        <v>154</v>
      </c>
      <c r="M28" s="33" t="str">
        <f t="shared" si="0"/>
        <v>Low price</v>
      </c>
      <c r="N28" s="33" t="str">
        <f t="shared" si="1"/>
        <v>CA</v>
      </c>
      <c r="O28" s="33" t="str">
        <f t="shared" si="2"/>
        <v>JUL</v>
      </c>
      <c r="P28" s="33" t="str">
        <f t="shared" si="3"/>
        <v>11</v>
      </c>
    </row>
    <row r="29" spans="1:16" x14ac:dyDescent="0.3">
      <c r="A29" t="s">
        <v>182</v>
      </c>
      <c r="B29" t="s">
        <v>162</v>
      </c>
      <c r="C29" t="s">
        <v>183</v>
      </c>
      <c r="D29">
        <v>230</v>
      </c>
      <c r="E29">
        <v>20</v>
      </c>
      <c r="F29" t="s">
        <v>146</v>
      </c>
      <c r="H29" s="33" t="s">
        <v>162</v>
      </c>
      <c r="I29" s="33" t="s">
        <v>183</v>
      </c>
      <c r="J29" s="33">
        <v>230</v>
      </c>
      <c r="K29" s="33">
        <v>20</v>
      </c>
      <c r="L29" s="34" t="s">
        <v>146</v>
      </c>
      <c r="M29" s="33" t="str">
        <f t="shared" si="0"/>
        <v>Low price</v>
      </c>
      <c r="N29" s="33" t="str">
        <f t="shared" si="1"/>
        <v>ES</v>
      </c>
      <c r="O29" s="33" t="str">
        <f t="shared" si="2"/>
        <v>APR</v>
      </c>
      <c r="P29" s="33" t="str">
        <f t="shared" si="3"/>
        <v>16</v>
      </c>
    </row>
    <row r="30" spans="1:16" x14ac:dyDescent="0.3">
      <c r="A30" t="s">
        <v>213</v>
      </c>
      <c r="B30" t="s">
        <v>214</v>
      </c>
      <c r="C30" t="s">
        <v>215</v>
      </c>
      <c r="D30">
        <v>60</v>
      </c>
      <c r="E30">
        <v>30</v>
      </c>
      <c r="F30" t="s">
        <v>150</v>
      </c>
      <c r="H30" s="33" t="s">
        <v>214</v>
      </c>
      <c r="I30" s="33" t="s">
        <v>215</v>
      </c>
      <c r="J30" s="33">
        <v>60</v>
      </c>
      <c r="K30" s="33">
        <v>30</v>
      </c>
      <c r="L30" s="34" t="s">
        <v>150</v>
      </c>
      <c r="M30" s="33" t="str">
        <f t="shared" si="0"/>
        <v>Low price</v>
      </c>
      <c r="N30" s="33" t="str">
        <f t="shared" si="1"/>
        <v>CA</v>
      </c>
      <c r="O30" s="33" t="str">
        <f t="shared" si="2"/>
        <v>MAR</v>
      </c>
      <c r="P30" s="33" t="str">
        <f t="shared" si="3"/>
        <v>07</v>
      </c>
    </row>
    <row r="31" spans="1:16" x14ac:dyDescent="0.3">
      <c r="A31" t="s">
        <v>216</v>
      </c>
      <c r="B31" t="s">
        <v>217</v>
      </c>
      <c r="C31" t="s">
        <v>218</v>
      </c>
      <c r="D31">
        <v>40</v>
      </c>
      <c r="E31">
        <v>10</v>
      </c>
      <c r="F31" t="s">
        <v>154</v>
      </c>
      <c r="H31" s="33" t="s">
        <v>217</v>
      </c>
      <c r="I31" s="33" t="s">
        <v>218</v>
      </c>
      <c r="J31" s="33">
        <v>40</v>
      </c>
      <c r="K31" s="33">
        <v>10</v>
      </c>
      <c r="L31" s="34" t="s">
        <v>154</v>
      </c>
      <c r="M31" s="33" t="str">
        <f t="shared" si="0"/>
        <v>Low price</v>
      </c>
      <c r="N31" s="33" t="str">
        <f t="shared" si="1"/>
        <v>CA</v>
      </c>
      <c r="O31" s="33" t="str">
        <f t="shared" si="2"/>
        <v>APR</v>
      </c>
      <c r="P31" s="33" t="str">
        <f t="shared" si="3"/>
        <v>13</v>
      </c>
    </row>
    <row r="32" spans="1:16" x14ac:dyDescent="0.3">
      <c r="A32" t="s">
        <v>219</v>
      </c>
      <c r="B32" t="s">
        <v>205</v>
      </c>
      <c r="C32" t="s">
        <v>220</v>
      </c>
      <c r="D32">
        <v>130</v>
      </c>
      <c r="E32">
        <v>5</v>
      </c>
      <c r="F32" t="s">
        <v>146</v>
      </c>
      <c r="H32" s="33" t="s">
        <v>205</v>
      </c>
      <c r="I32" s="33" t="s">
        <v>220</v>
      </c>
      <c r="J32" s="33">
        <v>130</v>
      </c>
      <c r="K32" s="33">
        <v>5</v>
      </c>
      <c r="L32" s="34" t="s">
        <v>146</v>
      </c>
      <c r="M32" s="33" t="str">
        <f t="shared" si="0"/>
        <v>Low price</v>
      </c>
      <c r="N32" s="33" t="str">
        <f t="shared" si="1"/>
        <v>CA</v>
      </c>
      <c r="O32" s="33" t="str">
        <f t="shared" si="2"/>
        <v>MAY</v>
      </c>
      <c r="P32" s="33" t="str">
        <f t="shared" si="3"/>
        <v>24</v>
      </c>
    </row>
    <row r="33" spans="1:16" x14ac:dyDescent="0.3">
      <c r="A33" t="s">
        <v>221</v>
      </c>
      <c r="B33" t="s">
        <v>222</v>
      </c>
      <c r="C33" t="s">
        <v>223</v>
      </c>
      <c r="D33">
        <v>50</v>
      </c>
      <c r="E33">
        <v>50</v>
      </c>
      <c r="F33" t="s">
        <v>150</v>
      </c>
      <c r="H33" s="33" t="s">
        <v>222</v>
      </c>
      <c r="I33" s="33" t="s">
        <v>223</v>
      </c>
      <c r="J33" s="33">
        <v>50</v>
      </c>
      <c r="K33" s="33">
        <v>50</v>
      </c>
      <c r="L33" s="34" t="s">
        <v>150</v>
      </c>
      <c r="M33" s="33" t="str">
        <f t="shared" si="0"/>
        <v>Low price</v>
      </c>
      <c r="N33" s="33" t="str">
        <f t="shared" si="1"/>
        <v>CA</v>
      </c>
      <c r="O33" s="33" t="str">
        <f t="shared" si="2"/>
        <v>DEC</v>
      </c>
      <c r="P33" s="33" t="str">
        <f t="shared" si="3"/>
        <v>02</v>
      </c>
    </row>
    <row r="34" spans="1:16" x14ac:dyDescent="0.3">
      <c r="A34" t="s">
        <v>174</v>
      </c>
      <c r="B34" t="s">
        <v>56</v>
      </c>
      <c r="C34" t="s">
        <v>175</v>
      </c>
      <c r="D34">
        <v>950</v>
      </c>
      <c r="E34">
        <v>25</v>
      </c>
      <c r="F34" t="s">
        <v>146</v>
      </c>
      <c r="H34" s="33" t="s">
        <v>56</v>
      </c>
      <c r="I34" s="33" t="s">
        <v>175</v>
      </c>
      <c r="J34" s="33">
        <v>950</v>
      </c>
      <c r="K34" s="33">
        <v>25</v>
      </c>
      <c r="L34" s="34" t="s">
        <v>146</v>
      </c>
      <c r="M34" s="33" t="str">
        <f t="shared" si="0"/>
        <v>Hige price</v>
      </c>
      <c r="N34" s="33" t="str">
        <f t="shared" si="1"/>
        <v>IN</v>
      </c>
      <c r="O34" s="33" t="str">
        <f t="shared" si="2"/>
        <v>JUN</v>
      </c>
      <c r="P34" s="33" t="str">
        <f t="shared" si="3"/>
        <v>17</v>
      </c>
    </row>
    <row r="35" spans="1:16" x14ac:dyDescent="0.3">
      <c r="A35" t="s">
        <v>224</v>
      </c>
      <c r="B35" t="s">
        <v>225</v>
      </c>
      <c r="C35" t="s">
        <v>226</v>
      </c>
      <c r="D35">
        <v>100</v>
      </c>
      <c r="E35">
        <v>20</v>
      </c>
      <c r="F35" t="s">
        <v>187</v>
      </c>
      <c r="H35" s="35" t="s">
        <v>225</v>
      </c>
      <c r="I35" s="35" t="s">
        <v>226</v>
      </c>
      <c r="J35" s="35">
        <v>100</v>
      </c>
      <c r="K35" s="35">
        <v>20</v>
      </c>
      <c r="L35" s="36" t="s">
        <v>187</v>
      </c>
      <c r="M35" s="35" t="str">
        <f t="shared" si="0"/>
        <v>Low price</v>
      </c>
      <c r="N35" s="35" t="str">
        <f t="shared" si="1"/>
        <v>FR</v>
      </c>
      <c r="O35" s="35" t="str">
        <f t="shared" si="2"/>
        <v>JUL</v>
      </c>
      <c r="P35" s="35" t="str">
        <f t="shared" si="3"/>
        <v>09</v>
      </c>
    </row>
    <row r="36" spans="1:16" x14ac:dyDescent="0.3">
      <c r="H36" s="37"/>
      <c r="I36" s="37"/>
      <c r="J36" s="37"/>
      <c r="K36" s="37"/>
      <c r="L36" s="37"/>
      <c r="M36" s="37"/>
      <c r="N36" s="37"/>
      <c r="O36" s="37"/>
      <c r="P36" s="37"/>
    </row>
    <row r="39" spans="1:16" ht="25.8" x14ac:dyDescent="0.5">
      <c r="H39" s="29">
        <v>1</v>
      </c>
      <c r="K39" s="29">
        <v>2</v>
      </c>
      <c r="N39" s="28">
        <v>4</v>
      </c>
    </row>
    <row r="40" spans="1:16" x14ac:dyDescent="0.3">
      <c r="H40" s="27"/>
    </row>
    <row r="41" spans="1:16" x14ac:dyDescent="0.3">
      <c r="H41" s="25" t="s">
        <v>227</v>
      </c>
      <c r="I41" s="12">
        <f>SUM(D2:D35)</f>
        <v>10100</v>
      </c>
      <c r="K41" s="30" t="s">
        <v>230</v>
      </c>
      <c r="L41" s="12">
        <f>MIN(D2:D35)</f>
        <v>30</v>
      </c>
      <c r="N41" s="30" t="s">
        <v>117</v>
      </c>
      <c r="O41" t="s">
        <v>235</v>
      </c>
      <c r="P41" s="12">
        <f>SUMIF(F2:F35,"Electronics",D2:D35)</f>
        <v>8050</v>
      </c>
    </row>
    <row r="42" spans="1:16" x14ac:dyDescent="0.3">
      <c r="H42" s="12"/>
      <c r="I42" s="12"/>
      <c r="K42" s="12"/>
      <c r="L42" s="12"/>
      <c r="N42" s="12"/>
      <c r="O42" s="12"/>
    </row>
    <row r="43" spans="1:16" x14ac:dyDescent="0.3">
      <c r="H43" s="25" t="s">
        <v>228</v>
      </c>
      <c r="I43" s="12">
        <f>COUNTA(A2:A35)</f>
        <v>34</v>
      </c>
      <c r="K43" s="30" t="s">
        <v>231</v>
      </c>
      <c r="L43" s="12">
        <f>MAX(D2:D35)</f>
        <v>1000</v>
      </c>
      <c r="N43" s="30" t="s">
        <v>234</v>
      </c>
      <c r="O43" t="s">
        <v>236</v>
      </c>
      <c r="P43" s="12">
        <f>COUNTIF(D2:D35,"&lt;100")</f>
        <v>11</v>
      </c>
    </row>
    <row r="44" spans="1:16" x14ac:dyDescent="0.3">
      <c r="H44" s="12"/>
      <c r="I44" s="12"/>
    </row>
    <row r="45" spans="1:16" x14ac:dyDescent="0.3">
      <c r="H45" s="25" t="s">
        <v>229</v>
      </c>
      <c r="I45" s="12">
        <f>AVERAGE(D2:D35)</f>
        <v>297.05882352941177</v>
      </c>
    </row>
    <row r="53" spans="14:14" x14ac:dyDescent="0.3">
      <c r="N53" t="s">
        <v>232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F3E2-5E4C-4B8A-9C3D-EC98B556C23D}">
  <dimension ref="A1:E6"/>
  <sheetViews>
    <sheetView workbookViewId="0">
      <selection activeCell="G1" sqref="G1"/>
    </sheetView>
  </sheetViews>
  <sheetFormatPr defaultRowHeight="14.4" x14ac:dyDescent="0.3"/>
  <cols>
    <col min="1" max="1" width="12.6640625" bestFit="1" customWidth="1"/>
    <col min="2" max="2" width="13" customWidth="1"/>
    <col min="3" max="3" width="16.109375" bestFit="1" customWidth="1"/>
    <col min="4" max="4" width="14.77734375" bestFit="1" customWidth="1"/>
    <col min="5" max="5" width="15" bestFit="1" customWidth="1"/>
  </cols>
  <sheetData>
    <row r="1" spans="1:5" x14ac:dyDescent="0.3">
      <c r="A1" s="15" t="s">
        <v>50</v>
      </c>
      <c r="B1" s="16" t="s">
        <v>61</v>
      </c>
      <c r="C1" s="19" t="s">
        <v>62</v>
      </c>
      <c r="D1" s="19" t="s">
        <v>63</v>
      </c>
      <c r="E1" s="19" t="s">
        <v>64</v>
      </c>
    </row>
    <row r="2" spans="1:5" x14ac:dyDescent="0.3">
      <c r="A2" s="13" t="s">
        <v>51</v>
      </c>
      <c r="B2" s="14" t="s">
        <v>56</v>
      </c>
      <c r="C2" t="str">
        <f t="shared" ref="C2:C6" si="0">LEFT(A2,2)</f>
        <v>27</v>
      </c>
      <c r="D2" t="str">
        <f t="shared" ref="D2:D6" si="1">RIGHT(A2,3)</f>
        <v>-IN</v>
      </c>
      <c r="E2" t="str">
        <f t="shared" ref="E2:E6" si="2">MID(A2,4,4)</f>
        <v>2023</v>
      </c>
    </row>
    <row r="3" spans="1:5" x14ac:dyDescent="0.3">
      <c r="A3" s="13" t="s">
        <v>52</v>
      </c>
      <c r="B3" s="14" t="s">
        <v>57</v>
      </c>
      <c r="C3" t="str">
        <f t="shared" si="0"/>
        <v>15</v>
      </c>
      <c r="D3" t="str">
        <f t="shared" si="1"/>
        <v>-US</v>
      </c>
      <c r="E3" t="str">
        <f t="shared" si="2"/>
        <v>2022</v>
      </c>
    </row>
    <row r="4" spans="1:5" x14ac:dyDescent="0.3">
      <c r="A4" s="13" t="s">
        <v>53</v>
      </c>
      <c r="B4" s="14" t="s">
        <v>58</v>
      </c>
      <c r="C4" t="str">
        <f t="shared" si="0"/>
        <v>33</v>
      </c>
      <c r="D4" t="str">
        <f t="shared" si="1"/>
        <v>-CN</v>
      </c>
      <c r="E4" t="str">
        <f t="shared" si="2"/>
        <v>2023</v>
      </c>
    </row>
    <row r="5" spans="1:5" x14ac:dyDescent="0.3">
      <c r="A5" s="13" t="s">
        <v>54</v>
      </c>
      <c r="B5" s="14" t="s">
        <v>59</v>
      </c>
      <c r="C5" t="str">
        <f t="shared" si="0"/>
        <v>19</v>
      </c>
      <c r="D5" t="str">
        <f t="shared" si="1"/>
        <v>-AU</v>
      </c>
      <c r="E5" t="str">
        <f t="shared" si="2"/>
        <v>2020</v>
      </c>
    </row>
    <row r="6" spans="1:5" x14ac:dyDescent="0.3">
      <c r="A6" s="17" t="s">
        <v>55</v>
      </c>
      <c r="B6" s="18" t="s">
        <v>60</v>
      </c>
      <c r="C6" t="str">
        <f t="shared" si="0"/>
        <v>22</v>
      </c>
      <c r="D6" t="str">
        <f t="shared" si="1"/>
        <v>-FR</v>
      </c>
      <c r="E6" t="str">
        <f t="shared" si="2"/>
        <v>2021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71A3-2B61-4635-804A-706DB010D16C}">
  <dimension ref="A1:F6"/>
  <sheetViews>
    <sheetView workbookViewId="0">
      <selection activeCell="E11" sqref="E11"/>
    </sheetView>
  </sheetViews>
  <sheetFormatPr defaultRowHeight="14.4" x14ac:dyDescent="0.3"/>
  <cols>
    <col min="1" max="1" width="11.44140625" bestFit="1" customWidth="1"/>
    <col min="2" max="2" width="16" bestFit="1" customWidth="1"/>
    <col min="3" max="3" width="13.77734375" bestFit="1" customWidth="1"/>
    <col min="4" max="4" width="13.44140625" bestFit="1" customWidth="1"/>
    <col min="5" max="5" width="15.88671875" bestFit="1" customWidth="1"/>
    <col min="6" max="6" width="16" bestFit="1" customWidth="1"/>
  </cols>
  <sheetData>
    <row r="1" spans="1:6" ht="19.2" customHeight="1" x14ac:dyDescent="0.3">
      <c r="A1" s="20" t="s">
        <v>14</v>
      </c>
      <c r="B1" s="20" t="s">
        <v>70</v>
      </c>
      <c r="C1" s="20" t="s">
        <v>76</v>
      </c>
      <c r="D1" s="20" t="s">
        <v>82</v>
      </c>
      <c r="E1" s="20" t="s">
        <v>83</v>
      </c>
      <c r="F1" s="20" t="s">
        <v>84</v>
      </c>
    </row>
    <row r="2" spans="1:6" ht="19.2" customHeight="1" x14ac:dyDescent="0.3">
      <c r="A2" t="s">
        <v>65</v>
      </c>
      <c r="B2" t="s">
        <v>71</v>
      </c>
      <c r="C2" t="s">
        <v>77</v>
      </c>
      <c r="D2" t="str">
        <f>UPPER(A2)</f>
        <v>PETER PARKER</v>
      </c>
      <c r="E2" t="str">
        <f>LOWER(C2)</f>
        <v>spidey</v>
      </c>
      <c r="F2" t="str">
        <f>PROPER(B2)</f>
        <v>Web Slinger</v>
      </c>
    </row>
    <row r="3" spans="1:6" ht="17.399999999999999" customHeight="1" x14ac:dyDescent="0.3">
      <c r="A3" t="s">
        <v>66</v>
      </c>
      <c r="B3" t="s">
        <v>72</v>
      </c>
      <c r="C3" t="s">
        <v>78</v>
      </c>
      <c r="D3" t="str">
        <f t="shared" ref="D3:D6" si="0">UPPER(A3)</f>
        <v>CLARK KENT</v>
      </c>
      <c r="E3" t="str">
        <f t="shared" ref="E3:E6" si="1">LOWER(C3)</f>
        <v>superman</v>
      </c>
      <c r="F3" t="str">
        <f t="shared" ref="F3:F6" si="2">PROPER(B3)</f>
        <v>Daily Reporter</v>
      </c>
    </row>
    <row r="4" spans="1:6" x14ac:dyDescent="0.3">
      <c r="A4" t="s">
        <v>67</v>
      </c>
      <c r="B4" t="s">
        <v>73</v>
      </c>
      <c r="C4" t="s">
        <v>79</v>
      </c>
      <c r="D4" t="str">
        <f t="shared" si="0"/>
        <v>DIANA PRINCE</v>
      </c>
      <c r="E4" t="str">
        <f t="shared" si="1"/>
        <v>wonderwoman</v>
      </c>
      <c r="F4" t="str">
        <f t="shared" si="2"/>
        <v>Amazon Princess</v>
      </c>
    </row>
    <row r="5" spans="1:6" x14ac:dyDescent="0.3">
      <c r="A5" t="s">
        <v>68</v>
      </c>
      <c r="B5" t="s">
        <v>74</v>
      </c>
      <c r="C5" t="s">
        <v>80</v>
      </c>
      <c r="D5" t="str">
        <f t="shared" si="0"/>
        <v>BRUCE WAYNE</v>
      </c>
      <c r="E5" t="str">
        <f t="shared" si="1"/>
        <v>batman</v>
      </c>
      <c r="F5" t="str">
        <f t="shared" si="2"/>
        <v>Billionaire Playboy</v>
      </c>
    </row>
    <row r="6" spans="1:6" ht="18.600000000000001" customHeight="1" x14ac:dyDescent="0.3">
      <c r="A6" t="s">
        <v>69</v>
      </c>
      <c r="B6" t="s">
        <v>75</v>
      </c>
      <c r="C6" t="s">
        <v>81</v>
      </c>
      <c r="D6" t="str">
        <f t="shared" si="0"/>
        <v>TONY STARK</v>
      </c>
      <c r="E6" t="str">
        <f t="shared" si="1"/>
        <v>ironman</v>
      </c>
      <c r="F6" t="str">
        <f t="shared" si="2"/>
        <v>Genius Inventor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1277-8840-4F85-9024-0E02D857DD5D}">
  <dimension ref="A1:H25"/>
  <sheetViews>
    <sheetView topLeftCell="B1" zoomScale="85" zoomScaleNormal="85" workbookViewId="0">
      <selection activeCell="B24" sqref="B24"/>
    </sheetView>
  </sheetViews>
  <sheetFormatPr defaultRowHeight="14.4" x14ac:dyDescent="0.3"/>
  <cols>
    <col min="1" max="1" width="9.44140625" customWidth="1"/>
    <col min="2" max="2" width="18" customWidth="1"/>
    <col min="3" max="3" width="14.21875" customWidth="1"/>
    <col min="4" max="4" width="20.21875" customWidth="1"/>
    <col min="5" max="5" width="10.6640625" customWidth="1"/>
  </cols>
  <sheetData>
    <row r="1" spans="1:8" ht="21" x14ac:dyDescent="0.4">
      <c r="A1" s="1"/>
      <c r="B1" s="4" t="s">
        <v>41</v>
      </c>
      <c r="C1" s="9" t="s">
        <v>45</v>
      </c>
      <c r="D1" s="8"/>
    </row>
    <row r="2" spans="1:8" ht="15.6" x14ac:dyDescent="0.3">
      <c r="B2" s="2" t="s">
        <v>42</v>
      </c>
      <c r="C2" s="3">
        <v>20</v>
      </c>
      <c r="D2" s="11" t="s">
        <v>46</v>
      </c>
      <c r="E2" s="12">
        <f>SUMIF(B2:B10,"apple",C2:C10)</f>
        <v>65</v>
      </c>
    </row>
    <row r="3" spans="1:8" ht="15.6" x14ac:dyDescent="0.3">
      <c r="B3" s="2" t="s">
        <v>43</v>
      </c>
      <c r="C3" s="3">
        <v>15</v>
      </c>
      <c r="D3" s="11"/>
    </row>
    <row r="4" spans="1:8" ht="15.6" x14ac:dyDescent="0.3">
      <c r="B4" s="2" t="s">
        <v>44</v>
      </c>
      <c r="C4" s="3">
        <v>25</v>
      </c>
      <c r="D4" s="11" t="s">
        <v>47</v>
      </c>
      <c r="E4" s="12">
        <f>AVERAGEIF(B2:B10,"orange",C2:C10)</f>
        <v>20.333333333333332</v>
      </c>
    </row>
    <row r="5" spans="1:8" ht="15.6" x14ac:dyDescent="0.3">
      <c r="B5" s="2" t="s">
        <v>42</v>
      </c>
      <c r="C5" s="3">
        <v>30</v>
      </c>
      <c r="D5" s="11"/>
    </row>
    <row r="6" spans="1:8" ht="15.6" x14ac:dyDescent="0.3">
      <c r="B6" s="2" t="s">
        <v>43</v>
      </c>
      <c r="C6" s="3">
        <v>18</v>
      </c>
      <c r="D6" s="11" t="s">
        <v>48</v>
      </c>
      <c r="E6" s="12">
        <f>COUNTIF(B2:B10,"banana")</f>
        <v>3</v>
      </c>
    </row>
    <row r="7" spans="1:8" ht="15.6" x14ac:dyDescent="0.3">
      <c r="B7" s="2" t="s">
        <v>44</v>
      </c>
      <c r="C7" s="3">
        <v>22</v>
      </c>
      <c r="D7" s="11"/>
    </row>
    <row r="8" spans="1:8" ht="15.6" x14ac:dyDescent="0.3">
      <c r="B8" s="2" t="s">
        <v>42</v>
      </c>
      <c r="C8" s="3">
        <v>15</v>
      </c>
      <c r="D8" s="11"/>
    </row>
    <row r="9" spans="1:8" ht="15.6" x14ac:dyDescent="0.3">
      <c r="B9" s="2" t="s">
        <v>43</v>
      </c>
      <c r="C9" s="3">
        <v>28</v>
      </c>
      <c r="D9" s="11"/>
    </row>
    <row r="10" spans="1:8" ht="15.6" x14ac:dyDescent="0.3">
      <c r="B10" s="2" t="s">
        <v>44</v>
      </c>
      <c r="C10" s="3">
        <v>20</v>
      </c>
      <c r="G10" s="10" t="s">
        <v>49</v>
      </c>
      <c r="H10">
        <f>SUMIF(C2:C10,"&gt;20")</f>
        <v>105</v>
      </c>
    </row>
    <row r="11" spans="1:8" ht="15.6" x14ac:dyDescent="0.3">
      <c r="B11" s="2"/>
      <c r="C11" s="3"/>
      <c r="D11" s="10"/>
    </row>
    <row r="12" spans="1:8" ht="15.6" x14ac:dyDescent="0.3">
      <c r="B12" s="2"/>
      <c r="C12" s="3">
        <f>SUM(C2:C11)</f>
        <v>193</v>
      </c>
      <c r="D12" s="10"/>
    </row>
    <row r="13" spans="1:8" ht="15.6" x14ac:dyDescent="0.3">
      <c r="B13" s="2"/>
      <c r="C13" s="3"/>
    </row>
    <row r="14" spans="1:8" ht="15.6" x14ac:dyDescent="0.3">
      <c r="B14" s="2"/>
      <c r="C14" s="3"/>
    </row>
    <row r="15" spans="1:8" ht="15.6" x14ac:dyDescent="0.3">
      <c r="B15" s="2"/>
      <c r="C15" s="3"/>
    </row>
    <row r="16" spans="1:8" ht="15.6" x14ac:dyDescent="0.3">
      <c r="B16" s="2"/>
      <c r="C16" s="3"/>
    </row>
    <row r="17" spans="2:3" ht="15.6" x14ac:dyDescent="0.3">
      <c r="B17" s="2"/>
      <c r="C17" s="3"/>
    </row>
    <row r="18" spans="2:3" ht="15.6" x14ac:dyDescent="0.3">
      <c r="B18" s="2"/>
      <c r="C18" s="3"/>
    </row>
    <row r="19" spans="2:3" ht="15.6" x14ac:dyDescent="0.3">
      <c r="C19" s="3"/>
    </row>
    <row r="20" spans="2:3" ht="15.6" x14ac:dyDescent="0.3">
      <c r="C20" s="3"/>
    </row>
    <row r="21" spans="2:3" ht="15.6" x14ac:dyDescent="0.3">
      <c r="C21" s="3"/>
    </row>
    <row r="22" spans="2:3" ht="15.6" x14ac:dyDescent="0.3">
      <c r="C22" s="3"/>
    </row>
    <row r="23" spans="2:3" ht="15.6" x14ac:dyDescent="0.3">
      <c r="C23" s="3"/>
    </row>
    <row r="24" spans="2:3" ht="15.6" x14ac:dyDescent="0.3">
      <c r="C24" s="3"/>
    </row>
    <row r="25" spans="2:3" ht="15.6" x14ac:dyDescent="0.3">
      <c r="C25" s="3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9C04-F4D0-4231-893E-25431C7EFA26}">
  <dimension ref="A1:O13"/>
  <sheetViews>
    <sheetView topLeftCell="D1" zoomScale="70" zoomScaleNormal="70" workbookViewId="0">
      <selection activeCell="F24" sqref="F24"/>
    </sheetView>
  </sheetViews>
  <sheetFormatPr defaultRowHeight="14.4" x14ac:dyDescent="0.3"/>
  <cols>
    <col min="1" max="1" width="11.44140625" bestFit="1" customWidth="1"/>
    <col min="2" max="2" width="8.6640625" bestFit="1" customWidth="1"/>
    <col min="3" max="3" width="12.5546875" bestFit="1" customWidth="1"/>
    <col min="4" max="4" width="12.6640625" bestFit="1" customWidth="1"/>
    <col min="6" max="6" width="18.33203125" bestFit="1" customWidth="1"/>
    <col min="7" max="7" width="10.109375" bestFit="1" customWidth="1"/>
    <col min="9" max="9" width="14.88671875" bestFit="1" customWidth="1"/>
    <col min="13" max="13" width="51.5546875" bestFit="1" customWidth="1"/>
    <col min="14" max="14" width="13.6640625" bestFit="1" customWidth="1"/>
  </cols>
  <sheetData>
    <row r="1" spans="1:15" x14ac:dyDescent="0.3">
      <c r="A1" t="s">
        <v>0</v>
      </c>
      <c r="B1" t="s">
        <v>14</v>
      </c>
      <c r="C1" t="s">
        <v>27</v>
      </c>
      <c r="D1" t="s">
        <v>102</v>
      </c>
      <c r="E1" t="s">
        <v>100</v>
      </c>
      <c r="F1" t="s">
        <v>101</v>
      </c>
    </row>
    <row r="2" spans="1:15" x14ac:dyDescent="0.3">
      <c r="A2" t="s">
        <v>85</v>
      </c>
      <c r="B2" t="s">
        <v>15</v>
      </c>
      <c r="C2" t="s">
        <v>31</v>
      </c>
      <c r="D2" t="s">
        <v>36</v>
      </c>
      <c r="E2">
        <v>17</v>
      </c>
      <c r="F2">
        <v>82</v>
      </c>
    </row>
    <row r="3" spans="1:15" x14ac:dyDescent="0.3">
      <c r="A3" t="s">
        <v>86</v>
      </c>
      <c r="B3" t="s">
        <v>16</v>
      </c>
      <c r="C3" t="s">
        <v>28</v>
      </c>
      <c r="D3" t="s">
        <v>37</v>
      </c>
      <c r="E3">
        <v>14</v>
      </c>
      <c r="F3">
        <v>89</v>
      </c>
      <c r="I3" t="str">
        <f>UPPER(I2)</f>
        <v/>
      </c>
    </row>
    <row r="4" spans="1:15" ht="14.4" customHeight="1" x14ac:dyDescent="0.3">
      <c r="A4" t="s">
        <v>87</v>
      </c>
      <c r="B4" t="s">
        <v>17</v>
      </c>
      <c r="C4" t="s">
        <v>32</v>
      </c>
      <c r="D4" t="s">
        <v>38</v>
      </c>
      <c r="E4">
        <v>16</v>
      </c>
      <c r="F4">
        <v>78</v>
      </c>
      <c r="I4" t="s">
        <v>125</v>
      </c>
      <c r="J4" s="23" t="s">
        <v>107</v>
      </c>
      <c r="K4" s="23">
        <f>SUM(F2:F13)</f>
        <v>1031</v>
      </c>
      <c r="M4" t="s">
        <v>113</v>
      </c>
      <c r="N4" s="24" t="s">
        <v>117</v>
      </c>
      <c r="O4" s="12">
        <f>SUMIF(D2:D13,D3,F2:F13)</f>
        <v>354</v>
      </c>
    </row>
    <row r="5" spans="1:15" ht="14.4" customHeight="1" x14ac:dyDescent="0.3">
      <c r="A5" t="s">
        <v>88</v>
      </c>
      <c r="B5" t="s">
        <v>18</v>
      </c>
      <c r="C5" t="s">
        <v>99</v>
      </c>
      <c r="D5" t="s">
        <v>36</v>
      </c>
      <c r="E5">
        <v>18</v>
      </c>
      <c r="F5">
        <v>91</v>
      </c>
      <c r="I5" t="s">
        <v>103</v>
      </c>
      <c r="J5" s="23" t="s">
        <v>108</v>
      </c>
      <c r="K5" s="23">
        <f>MIN(F2:F13)</f>
        <v>77</v>
      </c>
      <c r="M5" t="s">
        <v>114</v>
      </c>
      <c r="N5" s="24" t="s">
        <v>118</v>
      </c>
      <c r="O5" s="12">
        <f>COUNTIF(C2:C13,C5)</f>
        <v>4</v>
      </c>
    </row>
    <row r="6" spans="1:15" ht="14.4" customHeight="1" x14ac:dyDescent="0.3">
      <c r="A6" t="s">
        <v>89</v>
      </c>
      <c r="B6" t="s">
        <v>19</v>
      </c>
      <c r="C6" t="s">
        <v>31</v>
      </c>
      <c r="D6" t="s">
        <v>38</v>
      </c>
      <c r="E6">
        <v>17</v>
      </c>
      <c r="F6">
        <v>93</v>
      </c>
      <c r="I6" t="s">
        <v>104</v>
      </c>
      <c r="J6" s="23" t="s">
        <v>109</v>
      </c>
      <c r="K6" s="23">
        <f>MAX(F2:F13)</f>
        <v>93</v>
      </c>
      <c r="M6" t="s">
        <v>115</v>
      </c>
      <c r="N6" s="24" t="s">
        <v>119</v>
      </c>
      <c r="O6" s="12">
        <f>AVERAGEIF(E2:E13,"&lt;16",F2:F13)</f>
        <v>87</v>
      </c>
    </row>
    <row r="7" spans="1:15" ht="14.4" customHeight="1" x14ac:dyDescent="0.3">
      <c r="A7" t="s">
        <v>90</v>
      </c>
      <c r="B7" t="s">
        <v>20</v>
      </c>
      <c r="C7" t="s">
        <v>99</v>
      </c>
      <c r="D7" t="s">
        <v>37</v>
      </c>
      <c r="E7">
        <v>16</v>
      </c>
      <c r="F7">
        <v>93</v>
      </c>
      <c r="I7" t="s">
        <v>105</v>
      </c>
      <c r="J7" s="23" t="s">
        <v>110</v>
      </c>
      <c r="K7" s="23">
        <f>COUNT(F2:F1048576)</f>
        <v>12</v>
      </c>
      <c r="N7" s="24"/>
      <c r="O7" s="12"/>
    </row>
    <row r="8" spans="1:15" ht="14.4" customHeight="1" x14ac:dyDescent="0.3">
      <c r="A8" t="s">
        <v>91</v>
      </c>
      <c r="B8" t="s">
        <v>21</v>
      </c>
      <c r="C8" t="s">
        <v>32</v>
      </c>
      <c r="D8" t="s">
        <v>36</v>
      </c>
      <c r="E8">
        <v>16</v>
      </c>
      <c r="F8">
        <v>80</v>
      </c>
      <c r="J8" s="23" t="s">
        <v>111</v>
      </c>
      <c r="K8" s="23">
        <f>COUNTA(F2:F13)</f>
        <v>12</v>
      </c>
      <c r="M8" t="s">
        <v>116</v>
      </c>
      <c r="N8" s="24" t="s">
        <v>117</v>
      </c>
      <c r="O8" s="12">
        <f>SUMIF(F2:F13,"&gt;=90",F2:F13)</f>
        <v>367</v>
      </c>
    </row>
    <row r="9" spans="1:15" ht="14.4" customHeight="1" x14ac:dyDescent="0.3">
      <c r="A9" t="s">
        <v>92</v>
      </c>
      <c r="B9" t="s">
        <v>97</v>
      </c>
      <c r="C9" t="s">
        <v>28</v>
      </c>
      <c r="D9" t="s">
        <v>38</v>
      </c>
      <c r="E9">
        <v>17</v>
      </c>
      <c r="F9">
        <v>86</v>
      </c>
      <c r="I9" t="s">
        <v>106</v>
      </c>
      <c r="J9" s="23" t="s">
        <v>112</v>
      </c>
      <c r="K9" s="23">
        <f>AVERAGE(F2:F13)</f>
        <v>85.916666666666671</v>
      </c>
      <c r="N9" s="24"/>
      <c r="O9" s="12"/>
    </row>
    <row r="10" spans="1:15" ht="14.4" customHeight="1" x14ac:dyDescent="0.3">
      <c r="A10" t="s">
        <v>93</v>
      </c>
      <c r="B10" t="s">
        <v>25</v>
      </c>
      <c r="C10" t="s">
        <v>28</v>
      </c>
      <c r="D10" t="s">
        <v>37</v>
      </c>
      <c r="E10">
        <v>14</v>
      </c>
      <c r="F10">
        <v>88</v>
      </c>
      <c r="M10" t="s">
        <v>120</v>
      </c>
      <c r="N10" s="24" t="s">
        <v>121</v>
      </c>
      <c r="O10" s="12">
        <f>COUNTIFS(C2:C13,"T.Nagar",D2:D13,"class X")</f>
        <v>2</v>
      </c>
    </row>
    <row r="11" spans="1:15" ht="14.4" customHeight="1" x14ac:dyDescent="0.3">
      <c r="A11" t="s">
        <v>94</v>
      </c>
      <c r="B11" t="s">
        <v>22</v>
      </c>
      <c r="C11" t="s">
        <v>99</v>
      </c>
      <c r="D11" t="s">
        <v>36</v>
      </c>
      <c r="E11">
        <v>17</v>
      </c>
      <c r="F11">
        <v>77</v>
      </c>
      <c r="N11" s="24"/>
      <c r="O11" s="12"/>
    </row>
    <row r="12" spans="1:15" ht="14.4" customHeight="1" x14ac:dyDescent="0.3">
      <c r="A12" t="s">
        <v>95</v>
      </c>
      <c r="B12" t="s">
        <v>23</v>
      </c>
      <c r="C12" t="s">
        <v>31</v>
      </c>
      <c r="D12" t="s">
        <v>38</v>
      </c>
      <c r="E12">
        <v>16</v>
      </c>
      <c r="F12">
        <v>90</v>
      </c>
      <c r="M12" t="s">
        <v>122</v>
      </c>
      <c r="N12" s="24" t="s">
        <v>123</v>
      </c>
      <c r="O12" s="12">
        <f>SUMIFS(F2:F13,D2:D13,"Class X",C2:C13,"T.Nagar")</f>
        <v>177</v>
      </c>
    </row>
    <row r="13" spans="1:15" x14ac:dyDescent="0.3">
      <c r="A13" t="s">
        <v>96</v>
      </c>
      <c r="B13" t="s">
        <v>98</v>
      </c>
      <c r="C13" t="s">
        <v>99</v>
      </c>
      <c r="D13" t="s">
        <v>37</v>
      </c>
      <c r="E13">
        <v>15</v>
      </c>
      <c r="F13">
        <v>84</v>
      </c>
      <c r="O13" t="s">
        <v>124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9476BF-41A5-41A3-A4FD-69407D5466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emplay (5)</vt:lpstr>
      <vt:lpstr>Sheet6</vt:lpstr>
      <vt:lpstr>Dataset assienment 1</vt:lpstr>
      <vt:lpstr>emplay</vt:lpstr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PUSHPARAJ</dc:creator>
  <cp:lastModifiedBy>Pushparaj B</cp:lastModifiedBy>
  <cp:lastPrinted>2026-09-02T10:48:18Z</cp:lastPrinted>
  <dcterms:created xsi:type="dcterms:W3CDTF">2015-06-05T18:17:20Z</dcterms:created>
  <dcterms:modified xsi:type="dcterms:W3CDTF">2026-09-05T07:18:24Z</dcterms:modified>
</cp:coreProperties>
</file>